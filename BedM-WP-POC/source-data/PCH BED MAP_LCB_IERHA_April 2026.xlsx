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21\LC\PCH Unit\[NEW] Information and Tracking\Bed Maps and PCH Information\2025\Feedback From Regions\IERHA Feedback\"/>
    </mc:Choice>
  </mc:AlternateContent>
  <xr:revisionPtr revIDLastSave="0" documentId="13_ncr:1_{3A33D0F8-1EFE-4C28-8E98-0BEEC6A9D643}" xr6:coauthVersionLast="47" xr6:coauthVersionMax="47" xr10:uidLastSave="{00000000-0000-0000-0000-000000000000}"/>
  <bookViews>
    <workbookView xWindow="-110" yWindow="-110" windowWidth="19420" windowHeight="12300" tabRatio="367" xr2:uid="{C20E4F64-A442-484B-9DDD-0776CE7E3D87}"/>
  </bookViews>
  <sheets>
    <sheet name="LCB" sheetId="3" r:id="rId1"/>
    <sheet name="S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3" l="1"/>
  <c r="R5" i="3" s="1"/>
  <c r="U6" i="3"/>
  <c r="R6" i="3" s="1"/>
  <c r="U7" i="3"/>
  <c r="R7" i="3" s="1"/>
  <c r="U8" i="3"/>
  <c r="R8" i="3" s="1"/>
  <c r="U10" i="3"/>
  <c r="R10" i="3" s="1"/>
  <c r="U11" i="3"/>
  <c r="R11" i="3" s="1"/>
  <c r="U12" i="3"/>
  <c r="R12" i="3" s="1"/>
  <c r="U13" i="3"/>
  <c r="R13" i="3" s="1"/>
  <c r="U14" i="3"/>
  <c r="R14" i="3" s="1"/>
  <c r="U15" i="3"/>
  <c r="R15" i="3" s="1"/>
  <c r="U9" i="3"/>
  <c r="R9" i="3" s="1"/>
  <c r="U16" i="3"/>
  <c r="R16" i="3" s="1"/>
  <c r="U17" i="3"/>
  <c r="R17" i="3" s="1"/>
  <c r="U18" i="3"/>
  <c r="R18" i="3" s="1"/>
  <c r="U19" i="3"/>
  <c r="R19" i="3" s="1"/>
  <c r="U4" i="3"/>
  <c r="R4" i="3" s="1"/>
  <c r="O20" i="3"/>
  <c r="M20" i="3"/>
  <c r="L20" i="3"/>
  <c r="U20" i="3" l="1"/>
</calcChain>
</file>

<file path=xl/sharedStrings.xml><?xml version="1.0" encoding="utf-8"?>
<sst xmlns="http://schemas.openxmlformats.org/spreadsheetml/2006/main" count="443" uniqueCount="210">
  <si>
    <t>Total Licensed Beds</t>
  </si>
  <si>
    <t>Multi-Bedded PCH Rooms</t>
  </si>
  <si>
    <t># of 2 Bed Rooms</t>
  </si>
  <si>
    <t>Facility Address</t>
  </si>
  <si>
    <t>Respite PCH Beds</t>
  </si>
  <si>
    <t>Specialized Personal Care Environment Bed Types</t>
  </si>
  <si>
    <t>General PCH Beds</t>
  </si>
  <si>
    <t>Is the site juxtaposed to another facility?</t>
  </si>
  <si>
    <t>Name of the juxtaposed facility:
(Please answer only if the site is juxtaposed to another facility)</t>
  </si>
  <si>
    <t>Backup generator capacity in megawatts (MW) or kilowatts: (Optional)</t>
  </si>
  <si>
    <t>Does backup generator support the full site?</t>
  </si>
  <si>
    <t>Please provide additional backup generator information (ex. any location within the site not receivng power etc.).: (Optional)</t>
  </si>
  <si>
    <t>Does the site have alternate heating options? Is yes, please include method/technology/means. (Optional)</t>
  </si>
  <si>
    <t>Main phone line contact number:</t>
  </si>
  <si>
    <t>Does the site have backup for communication? ex: satellite phones, starlink, 2-way radios, VIOCI/Sysco phones, etc.</t>
  </si>
  <si>
    <t>Name and position of main contact: (ex. A leadership- or an executive-level contact information)</t>
  </si>
  <si>
    <t>Please provide any additional information that is crucial to the site. (Optional)</t>
  </si>
  <si>
    <t>Mailing Address</t>
  </si>
  <si>
    <t>Civic Address</t>
  </si>
  <si>
    <t xml:space="preserve"># of 3 or more Bed Rooms  </t>
  </si>
  <si>
    <t>Licence Status</t>
  </si>
  <si>
    <t>Operator</t>
  </si>
  <si>
    <t>Resident Bedroom Capacity by Bed Type</t>
  </si>
  <si>
    <t>Single Bed PCH Rooms</t>
  </si>
  <si>
    <t># of 1 Bed rooms</t>
  </si>
  <si>
    <t>How many floors does the facility have (excluding basements, if applicable)?</t>
  </si>
  <si>
    <t>Transitional Beds</t>
  </si>
  <si>
    <t>Designated Bilingual (Y/N)</t>
  </si>
  <si>
    <t>Francophone (Y/N)</t>
  </si>
  <si>
    <t>Veterans' Priority Beds</t>
  </si>
  <si>
    <t>Alternate Care Environment (ACE) Beds</t>
  </si>
  <si>
    <t>Behavioural Support &amp; Care Environment (BSCE) Beds</t>
  </si>
  <si>
    <t>Behavioural Treatment Unit (BTU) Beds</t>
  </si>
  <si>
    <t>Comments</t>
  </si>
  <si>
    <t>Does the site have backup generator power? 
(Y/N)</t>
  </si>
  <si>
    <t>In the event of a fire, does the site have an operational fire sprinkler system? 
(Y/N)</t>
  </si>
  <si>
    <t>Is the main phone line answered 24/7?
(Y/N)</t>
  </si>
  <si>
    <t>PCH  Name</t>
  </si>
  <si>
    <t>PCH Name</t>
  </si>
  <si>
    <t>Pioneer Health Services - Arborg</t>
  </si>
  <si>
    <t>Betel Home (Gimli)</t>
  </si>
  <si>
    <t>Betel Home (Selkirk)</t>
  </si>
  <si>
    <t>Red River Place</t>
  </si>
  <si>
    <t>Rosewood Lodge</t>
  </si>
  <si>
    <t>Whitemouth District Health Centre</t>
  </si>
  <si>
    <t>Box 110, Ashern, R0C 0E0</t>
  </si>
  <si>
    <t>212 Manchester Ave., Selkirk, R1A 0B6</t>
  </si>
  <si>
    <t>P. O. Box 1690, Beausejour, R0E 0C0</t>
  </si>
  <si>
    <t>Box 119, Fisher Branch, R0C 0Z0</t>
  </si>
  <si>
    <t>Box 89, Teulon, R0C 3B0</t>
  </si>
  <si>
    <t>P.O. Box 28, Oakbank, R0E1J0</t>
  </si>
  <si>
    <t>P. O. Box 1030, Lac du Bonnet, R0E 1A0</t>
  </si>
  <si>
    <t>Box 296, Lundar, R0C1Y0</t>
  </si>
  <si>
    <t>Box 10, Arborg, R0C 0A0</t>
  </si>
  <si>
    <t>133 Manchester Avenue, Selkirk, R1A 0B5</t>
  </si>
  <si>
    <t>513 - 1st Avenue North, Stonewall, R0C 2Z0</t>
  </si>
  <si>
    <t>P. O. Box 2000, Pine Falls, R0E 1M0</t>
  </si>
  <si>
    <t>800 Manitoba Avenue, Selkirk, R1A 2C9</t>
  </si>
  <si>
    <t>P.O. Box 160, Whitemouth, R0E 2G0</t>
  </si>
  <si>
    <t>P. O. Box 10, Gimli, R0C 1B0</t>
  </si>
  <si>
    <t>P. O. Box 130, Eriksdale, R0C 0C0</t>
  </si>
  <si>
    <t>1 Steenson Drive</t>
  </si>
  <si>
    <t>96-1st Avenue</t>
  </si>
  <si>
    <t>212 Manchester Avenue</t>
  </si>
  <si>
    <t>646 James Avenue</t>
  </si>
  <si>
    <t>40 Railway Avenue</t>
  </si>
  <si>
    <t>7 Chalet Drive</t>
  </si>
  <si>
    <t>162-3rd Avenue South East</t>
  </si>
  <si>
    <t>680 Pine Drive</t>
  </si>
  <si>
    <t>75 McIntosh Street</t>
  </si>
  <si>
    <t>97 - 1st Street South</t>
  </si>
  <si>
    <t>233 St. Phillips Drive</t>
  </si>
  <si>
    <t>133 Manchester Avenue</t>
  </si>
  <si>
    <t>513 - 1st Avenue North</t>
  </si>
  <si>
    <t>37 Maple Street</t>
  </si>
  <si>
    <t>800 Manitoba Avenue</t>
  </si>
  <si>
    <t>75 Hospital Street</t>
  </si>
  <si>
    <t>none</t>
  </si>
  <si>
    <t>N</t>
  </si>
  <si>
    <t>East-Gate Lodge personal care home</t>
  </si>
  <si>
    <t>Eriksdale personal care home</t>
  </si>
  <si>
    <t>Fisher personal care home</t>
  </si>
  <si>
    <t>Goodwin Lodge personal care home</t>
  </si>
  <si>
    <t>Kin Place personal care home</t>
  </si>
  <si>
    <t>Lac Du Bonnet personal care home</t>
  </si>
  <si>
    <t>Lundar personal care home</t>
  </si>
  <si>
    <t>Sunnywood Manor personal care home</t>
  </si>
  <si>
    <t>Tudor House personal care home</t>
  </si>
  <si>
    <t>Ashern personal care home</t>
  </si>
  <si>
    <t>Interlake Eastern Regional Health Authority</t>
  </si>
  <si>
    <t>Betel Home Foundation</t>
  </si>
  <si>
    <t>Red River Manor Incorporated (a subsidiary of Extendicare (Canada) Inc.)</t>
  </si>
  <si>
    <t>Tudor House Personal Care Home Health Corporation</t>
  </si>
  <si>
    <t xml:space="preserve">Licence with Condition </t>
  </si>
  <si>
    <t>yes</t>
  </si>
  <si>
    <t>no</t>
  </si>
  <si>
    <t>Unencumbered Licence</t>
  </si>
  <si>
    <t>16 PCHs</t>
  </si>
  <si>
    <t>Whitemouth District Health Centre Personal Care Home</t>
  </si>
  <si>
    <t>Sunnywood Manor Personal Care Home</t>
  </si>
  <si>
    <t>Lundar  Personal Care Home</t>
  </si>
  <si>
    <t>Lac Du Bonnet Personal Care Home</t>
  </si>
  <si>
    <t>Goodwin Lodge  Personal Care Home</t>
  </si>
  <si>
    <t>Fisher Personal Care Home</t>
  </si>
  <si>
    <t>Kin Place Personal Care Home</t>
  </si>
  <si>
    <t>Eriksdale Personal Care Home</t>
  </si>
  <si>
    <t>East-Gate Lodge Personal Care Home</t>
  </si>
  <si>
    <t>Ashern Personal Care Home</t>
  </si>
  <si>
    <t>Extendicare Red River Place</t>
  </si>
  <si>
    <t>Not-For-Profit</t>
  </si>
  <si>
    <r>
      <t xml:space="preserve">For-Profit
</t>
    </r>
    <r>
      <rPr>
        <b/>
        <u/>
        <sz val="11"/>
        <color theme="1"/>
        <rFont val="Arial"/>
        <family val="2"/>
      </rPr>
      <t>(Y/N)</t>
    </r>
  </si>
  <si>
    <t>Y</t>
  </si>
  <si>
    <t>Tudor House Personal Care Home</t>
  </si>
  <si>
    <t>For-Profit</t>
  </si>
  <si>
    <t>Board Owned and Operated   (Y/N)</t>
  </si>
  <si>
    <t>Regional Owned and Operated   (Y/N)</t>
  </si>
  <si>
    <t>CB</t>
  </si>
  <si>
    <t>Faith-based (FB); Culture-based (CB)</t>
  </si>
  <si>
    <t>-</t>
  </si>
  <si>
    <t>8 J
8 NJ</t>
  </si>
  <si>
    <t>204-348-7191</t>
  </si>
  <si>
    <t>N/A</t>
  </si>
  <si>
    <t>stand alone at north East Side of Facility</t>
  </si>
  <si>
    <t>400 kilowatt 12/208 volt 3 phase</t>
  </si>
  <si>
    <t>Cathy Powell - Administrator</t>
  </si>
  <si>
    <t>204-482-6601</t>
  </si>
  <si>
    <t>204-367-8201</t>
  </si>
  <si>
    <t xml:space="preserve">by receiving area </t>
  </si>
  <si>
    <t>800 KW</t>
  </si>
  <si>
    <t>Pine Falls Health Centre, Pine Falls Acute Hospital</t>
  </si>
  <si>
    <t>204-467-5257</t>
  </si>
  <si>
    <t>Natural gas hot water boilers that supply radiant hot water heating to coils in the air handlers for Rosewood Lodge PCH.</t>
  </si>
  <si>
    <t xml:space="preserve">Staff parking lot; south side of lot. In addition to the entire site receiving power, the attached EPCH receives full power as well. </t>
  </si>
  <si>
    <t>no, there is an answering service between 4pm and 8am</t>
  </si>
  <si>
    <t>204-482-3036</t>
  </si>
  <si>
    <t>n/a</t>
  </si>
  <si>
    <t>Current generator is located in our basement. However, April 24, 2024 our new generator will be delivered. It will be installed on the south-west side of the property</t>
  </si>
  <si>
    <t>500Kw</t>
  </si>
  <si>
    <t>204-376-5226</t>
  </si>
  <si>
    <t>Arborg &amp; District Hospital</t>
  </si>
  <si>
    <t>Teresa Grouette, Manager Health services</t>
  </si>
  <si>
    <t>204-762-5663</t>
  </si>
  <si>
    <t>north side of PCH, entire building receives power</t>
  </si>
  <si>
    <t>350 Kilowatts</t>
  </si>
  <si>
    <t>204-345-1222</t>
  </si>
  <si>
    <t>light, plugs, fire sprinkle system, water supply</t>
  </si>
  <si>
    <t>105 KW, 126 Amp</t>
  </si>
  <si>
    <t>Keltie Kadynuik, Manager Health Services</t>
  </si>
  <si>
    <t>204-886-2433</t>
  </si>
  <si>
    <t>na</t>
  </si>
  <si>
    <t>East side of building; fully supports site</t>
  </si>
  <si>
    <t>600 kilowatts</t>
  </si>
  <si>
    <t>Teulon Hunter Memorial Hospital</t>
  </si>
  <si>
    <t>204-372-7310</t>
  </si>
  <si>
    <t>south-east side of facility</t>
  </si>
  <si>
    <t>56 kilowatts</t>
  </si>
  <si>
    <t>204-739-4416</t>
  </si>
  <si>
    <t>main source: electric  Alternate: boiler system...Independent systems</t>
  </si>
  <si>
    <t>central yard: provides service to hospital, pch &amp;link</t>
  </si>
  <si>
    <t>390Megawatts</t>
  </si>
  <si>
    <t>E.M. Crowe Memorial Hospital</t>
  </si>
  <si>
    <t>yes directed to the units after hours</t>
  </si>
  <si>
    <t>204-268-1029</t>
  </si>
  <si>
    <t>in the process of installing a generator at this time</t>
  </si>
  <si>
    <t>Angela Eyjolfson- CEO</t>
  </si>
  <si>
    <t>The main phone line has options for extensions to the nursing units which are staffed 24/7. The Wing 1/2 extension is 20953 and the Wing 3/4 extension is 20959.  The wing 5/6 extension is 20954</t>
  </si>
  <si>
    <t>204-482-5469</t>
  </si>
  <si>
    <t>located outdoors on the south east side of the building</t>
  </si>
  <si>
    <t>300kw</t>
  </si>
  <si>
    <t>Angela Eyjolfson - CEO</t>
  </si>
  <si>
    <t>The main phone line has options for extensions to the nursing units which are staffed 24/7. The Unit 1 extension is 22353 and the Unit 2 extension is 22362</t>
  </si>
  <si>
    <t>204-642-5556</t>
  </si>
  <si>
    <t>Generator is located inside - behind the maintenance room in the service area of the building. Provides approx 20% building coverage.  no backup power to resident rooms or kitchen.</t>
  </si>
  <si>
    <t>125 kw</t>
  </si>
  <si>
    <t>Waterfront Centre- 55+ life lease facility - not owned by Betel</t>
  </si>
  <si>
    <t>204-768-5216</t>
  </si>
  <si>
    <t>Lakeshore General Hospital</t>
  </si>
  <si>
    <t xml:space="preserve">Stonewood Place EPH (Managed by IERHA) </t>
  </si>
  <si>
    <t>750kw</t>
  </si>
  <si>
    <t xml:space="preserve">priority 1 emergency; safety life systems, lighting, air handling units </t>
  </si>
  <si>
    <t xml:space="preserve">PCH replacement pending </t>
  </si>
  <si>
    <t>2x650kw (entire complex)</t>
  </si>
  <si>
    <t xml:space="preserve">located outside PCH in back </t>
  </si>
  <si>
    <t>y</t>
  </si>
  <si>
    <t>n</t>
  </si>
  <si>
    <t>y -partial</t>
  </si>
  <si>
    <t>new firebreak behind health complex juxtaposed to PCH</t>
  </si>
  <si>
    <t>Woodlands Court and Cambridge House (assisted living, 55+)</t>
  </si>
  <si>
    <t xml:space="preserve">Stony Plains Terrace Supportive Housing </t>
  </si>
  <si>
    <t xml:space="preserve">Jacqueline Molina, Executive Director </t>
  </si>
  <si>
    <t xml:space="preserve">Teresa Grouette, Manager Health Services (MHS) </t>
  </si>
  <si>
    <t>Doreen Lucier, Manager Health Services</t>
  </si>
  <si>
    <t>Cindee Bialek, Manager Health Services</t>
  </si>
  <si>
    <t>Clayton Fisher, Manager Health Services</t>
  </si>
  <si>
    <t>Camille Wilson, Manager Health Services</t>
  </si>
  <si>
    <t>Cheryl Fudali, Manager Health Services</t>
  </si>
  <si>
    <t>Ruben Asis, Manager Health Services</t>
  </si>
  <si>
    <t>Breanne Wray, Manager Health Services</t>
  </si>
  <si>
    <t>yes, need to select appropriate extension.</t>
  </si>
  <si>
    <t>204-444-6121</t>
  </si>
  <si>
    <t>yes, ext 127 or 130 after hours</t>
  </si>
  <si>
    <t xml:space="preserve">2-way radios </t>
  </si>
  <si>
    <t xml:space="preserve">2-way radios, cell phones , VOICI/Sysco phones </t>
  </si>
  <si>
    <t xml:space="preserve">cell phones, VOICI/Sysco phones </t>
  </si>
  <si>
    <t>2-way radios, cell phones</t>
  </si>
  <si>
    <t xml:space="preserve">2-way radios, VOICI/Sysco phones </t>
  </si>
  <si>
    <t>cell phones</t>
  </si>
  <si>
    <t xml:space="preserve">cell phones </t>
  </si>
  <si>
    <t>cell phones, walkie talkie watches</t>
  </si>
  <si>
    <t>This document reflects the most recent updates 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</si>
</sst>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0" tint="-4.9989318521683403E-2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u/>
      <sz val="12"/>
      <color rgb="FF00206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4"/>
      <color theme="3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BCD7F2"/>
      </patternFill>
    </fill>
    <fill>
      <patternFill patternType="solid">
        <fgColor rgb="FF85B6E7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3" tint="9.9978637043366805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49995422223578601"/>
        <bgColor indexed="65"/>
      </patternFill>
    </fill>
    <fill>
      <patternFill patternType="solid">
        <fgColor rgb="FFB3FFEB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D0D4E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6" fillId="16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/>
    <xf numFmtId="0" fontId="0" fillId="16" borderId="16" xfId="0" applyFill="1" applyBorder="1"/>
    <xf numFmtId="0" fontId="0" fillId="16" borderId="17" xfId="0" applyFill="1" applyBorder="1"/>
    <xf numFmtId="0" fontId="9" fillId="15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16" borderId="16" xfId="0" applyFont="1" applyFill="1" applyBorder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16" borderId="16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3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2" fillId="17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 wrapText="1"/>
    </xf>
    <xf numFmtId="0" fontId="12" fillId="17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18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D4E2"/>
      <color rgb="FFFFEFEB"/>
      <color rgb="FFB3FFEB"/>
      <color rgb="FFBCD7F2"/>
      <color rgb="FFFEF5D2"/>
      <color rgb="FFFFB7B7"/>
      <color rgb="FF1B4D7F"/>
      <color rgb="FF2E82D6"/>
      <color rgb="FF85B6E7"/>
      <color rgb="FF559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4B0-AB83-A742-961B-465049092045}">
  <dimension ref="A1:Z23"/>
  <sheetViews>
    <sheetView tabSelected="1" topLeftCell="A9" zoomScale="80" zoomScaleNormal="80" workbookViewId="0">
      <pane xSplit="1" topLeftCell="B1" activePane="topRight" state="frozen"/>
      <selection pane="topRight" activeCell="B28" sqref="B28"/>
    </sheetView>
  </sheetViews>
  <sheetFormatPr defaultColWidth="8.54296875" defaultRowHeight="14.5" x14ac:dyDescent="0.35"/>
  <cols>
    <col min="1" max="1" width="41.7265625" customWidth="1"/>
    <col min="2" max="2" width="42.1796875" customWidth="1"/>
    <col min="3" max="3" width="36.54296875" customWidth="1"/>
    <col min="4" max="4" width="22.453125" customWidth="1"/>
    <col min="5" max="5" width="44" customWidth="1"/>
    <col min="6" max="7" width="17.453125" customWidth="1"/>
    <col min="8" max="8" width="20.1796875" customWidth="1"/>
    <col min="9" max="10" width="18.7265625" customWidth="1"/>
    <col min="11" max="11" width="24.54296875" customWidth="1"/>
    <col min="12" max="12" width="22.54296875" customWidth="1"/>
    <col min="13" max="13" width="19.453125" customWidth="1"/>
    <col min="14" max="14" width="24.1796875" customWidth="1"/>
    <col min="15" max="15" width="23.54296875" customWidth="1"/>
    <col min="16" max="16" width="26.54296875" customWidth="1"/>
    <col min="17" max="17" width="35.453125" customWidth="1"/>
    <col min="18" max="18" width="20.453125" customWidth="1"/>
    <col min="19" max="19" width="16.453125" customWidth="1"/>
    <col min="20" max="20" width="20.453125" customWidth="1"/>
    <col min="21" max="21" width="24" customWidth="1"/>
    <col min="22" max="22" width="26.1796875" customWidth="1"/>
    <col min="23" max="23" width="34.453125" customWidth="1"/>
  </cols>
  <sheetData>
    <row r="1" spans="1:23" ht="50.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68" t="s">
        <v>22</v>
      </c>
      <c r="S1" s="69"/>
      <c r="T1" s="69"/>
      <c r="U1" s="22"/>
      <c r="V1" s="22"/>
      <c r="W1" s="22"/>
    </row>
    <row r="2" spans="1:23" ht="36" x14ac:dyDescent="0.35">
      <c r="A2" s="22"/>
      <c r="B2" s="70" t="s">
        <v>3</v>
      </c>
      <c r="C2" s="71"/>
      <c r="D2" s="22"/>
      <c r="E2" s="22"/>
      <c r="F2" s="22"/>
      <c r="G2" s="22"/>
      <c r="H2" s="36" t="s">
        <v>113</v>
      </c>
      <c r="I2" s="75" t="s">
        <v>109</v>
      </c>
      <c r="J2" s="75"/>
      <c r="K2" s="22"/>
      <c r="L2" s="22"/>
      <c r="M2" s="22"/>
      <c r="N2" s="22"/>
      <c r="O2" s="72" t="s">
        <v>5</v>
      </c>
      <c r="P2" s="73"/>
      <c r="Q2" s="73"/>
      <c r="R2" s="3" t="s">
        <v>23</v>
      </c>
      <c r="S2" s="74" t="s">
        <v>1</v>
      </c>
      <c r="T2" s="73"/>
      <c r="U2" s="2"/>
      <c r="V2" s="22"/>
      <c r="W2" s="22"/>
    </row>
    <row r="3" spans="1:23" s="1" customFormat="1" ht="46.5" x14ac:dyDescent="0.35">
      <c r="A3" s="4" t="s">
        <v>38</v>
      </c>
      <c r="B3" s="41" t="s">
        <v>17</v>
      </c>
      <c r="C3" s="42" t="s">
        <v>18</v>
      </c>
      <c r="D3" s="40" t="s">
        <v>20</v>
      </c>
      <c r="E3" s="5" t="s">
        <v>21</v>
      </c>
      <c r="F3" s="6" t="s">
        <v>27</v>
      </c>
      <c r="G3" s="6" t="s">
        <v>28</v>
      </c>
      <c r="H3" s="7" t="s">
        <v>110</v>
      </c>
      <c r="I3" s="35" t="s">
        <v>115</v>
      </c>
      <c r="J3" s="35" t="s">
        <v>114</v>
      </c>
      <c r="K3" s="8" t="s">
        <v>117</v>
      </c>
      <c r="L3" s="9" t="s">
        <v>6</v>
      </c>
      <c r="M3" s="10" t="s">
        <v>4</v>
      </c>
      <c r="N3" s="11" t="s">
        <v>29</v>
      </c>
      <c r="O3" s="12" t="s">
        <v>30</v>
      </c>
      <c r="P3" s="12" t="s">
        <v>31</v>
      </c>
      <c r="Q3" s="12" t="s">
        <v>32</v>
      </c>
      <c r="R3" s="13" t="s">
        <v>24</v>
      </c>
      <c r="S3" s="14" t="s">
        <v>2</v>
      </c>
      <c r="T3" s="15" t="s">
        <v>19</v>
      </c>
      <c r="U3" s="16" t="s">
        <v>0</v>
      </c>
      <c r="V3" s="17" t="s">
        <v>26</v>
      </c>
      <c r="W3" s="18" t="s">
        <v>33</v>
      </c>
    </row>
    <row r="4" spans="1:23" ht="15.5" x14ac:dyDescent="0.35">
      <c r="A4" s="32" t="s">
        <v>107</v>
      </c>
      <c r="B4" s="24" t="s">
        <v>45</v>
      </c>
      <c r="C4" s="24" t="s">
        <v>61</v>
      </c>
      <c r="D4" s="24" t="s">
        <v>96</v>
      </c>
      <c r="E4" s="29" t="s">
        <v>89</v>
      </c>
      <c r="F4" s="24" t="s">
        <v>78</v>
      </c>
      <c r="G4" s="24" t="s">
        <v>78</v>
      </c>
      <c r="H4" s="24" t="s">
        <v>78</v>
      </c>
      <c r="I4" s="43" t="s">
        <v>111</v>
      </c>
      <c r="J4" s="24" t="s">
        <v>78</v>
      </c>
      <c r="K4" s="24" t="s">
        <v>118</v>
      </c>
      <c r="L4" s="78">
        <v>20</v>
      </c>
      <c r="M4" s="63">
        <v>0</v>
      </c>
      <c r="N4" s="23"/>
      <c r="O4" s="24">
        <v>0</v>
      </c>
      <c r="P4" s="24">
        <v>0</v>
      </c>
      <c r="Q4" s="24">
        <v>0</v>
      </c>
      <c r="R4" s="24">
        <f>ABS(U4-(S4*2+T4*3))</f>
        <v>20</v>
      </c>
      <c r="S4" s="24">
        <v>0</v>
      </c>
      <c r="T4" s="24">
        <v>0</v>
      </c>
      <c r="U4" s="24">
        <f t="shared" ref="U4:U19" si="0">SUM(L4:M4) +(O4+P4+Q4)</f>
        <v>20</v>
      </c>
      <c r="V4" s="24" t="s">
        <v>77</v>
      </c>
      <c r="W4" s="23"/>
    </row>
    <row r="5" spans="1:23" ht="15.5" x14ac:dyDescent="0.35">
      <c r="A5" s="32" t="s">
        <v>40</v>
      </c>
      <c r="B5" s="24" t="s">
        <v>59</v>
      </c>
      <c r="C5" s="24" t="s">
        <v>62</v>
      </c>
      <c r="D5" s="24" t="s">
        <v>96</v>
      </c>
      <c r="E5" s="29" t="s">
        <v>90</v>
      </c>
      <c r="F5" s="24" t="s">
        <v>78</v>
      </c>
      <c r="G5" s="24" t="s">
        <v>78</v>
      </c>
      <c r="H5" s="24" t="s">
        <v>78</v>
      </c>
      <c r="I5" s="24" t="s">
        <v>78</v>
      </c>
      <c r="J5" s="43" t="s">
        <v>111</v>
      </c>
      <c r="K5" s="24" t="s">
        <v>116</v>
      </c>
      <c r="L5" s="79">
        <v>80</v>
      </c>
      <c r="M5" s="63">
        <v>0</v>
      </c>
      <c r="N5" s="23"/>
      <c r="O5" s="24">
        <v>0</v>
      </c>
      <c r="P5" s="24">
        <v>0</v>
      </c>
      <c r="Q5" s="24">
        <v>0</v>
      </c>
      <c r="R5" s="24">
        <f t="shared" ref="R5:R19" si="1">ABS(U5-(S5*2+T5*3))</f>
        <v>20</v>
      </c>
      <c r="S5" s="24">
        <v>30</v>
      </c>
      <c r="T5" s="24">
        <v>0</v>
      </c>
      <c r="U5" s="24">
        <f t="shared" si="0"/>
        <v>80</v>
      </c>
      <c r="V5" s="24" t="s">
        <v>77</v>
      </c>
      <c r="W5" s="23"/>
    </row>
    <row r="6" spans="1:23" ht="15.5" x14ac:dyDescent="0.35">
      <c r="A6" s="32" t="s">
        <v>41</v>
      </c>
      <c r="B6" s="24" t="s">
        <v>46</v>
      </c>
      <c r="C6" s="24" t="s">
        <v>63</v>
      </c>
      <c r="D6" s="24" t="s">
        <v>96</v>
      </c>
      <c r="E6" s="29" t="s">
        <v>90</v>
      </c>
      <c r="F6" s="24" t="s">
        <v>78</v>
      </c>
      <c r="G6" s="24" t="s">
        <v>78</v>
      </c>
      <c r="H6" s="24" t="s">
        <v>78</v>
      </c>
      <c r="I6" s="24" t="s">
        <v>78</v>
      </c>
      <c r="J6" s="43" t="s">
        <v>111</v>
      </c>
      <c r="K6" s="24" t="s">
        <v>116</v>
      </c>
      <c r="L6" s="78">
        <v>90</v>
      </c>
      <c r="M6" s="63">
        <v>1</v>
      </c>
      <c r="N6" s="23"/>
      <c r="O6" s="24">
        <v>0</v>
      </c>
      <c r="P6" s="24">
        <v>0</v>
      </c>
      <c r="Q6" s="24">
        <v>0</v>
      </c>
      <c r="R6" s="24">
        <f t="shared" si="1"/>
        <v>91</v>
      </c>
      <c r="S6" s="24">
        <v>0</v>
      </c>
      <c r="T6" s="24">
        <v>0</v>
      </c>
      <c r="U6" s="24">
        <f t="shared" si="0"/>
        <v>91</v>
      </c>
      <c r="V6" s="24" t="s">
        <v>77</v>
      </c>
      <c r="W6" s="23"/>
    </row>
    <row r="7" spans="1:23" ht="15.5" x14ac:dyDescent="0.35">
      <c r="A7" s="32" t="s">
        <v>106</v>
      </c>
      <c r="B7" s="24" t="s">
        <v>47</v>
      </c>
      <c r="C7" s="24" t="s">
        <v>64</v>
      </c>
      <c r="D7" s="24" t="s">
        <v>96</v>
      </c>
      <c r="E7" s="29" t="s">
        <v>89</v>
      </c>
      <c r="F7" s="24" t="s">
        <v>78</v>
      </c>
      <c r="G7" s="24" t="s">
        <v>78</v>
      </c>
      <c r="H7" s="24" t="s">
        <v>78</v>
      </c>
      <c r="I7" s="43" t="s">
        <v>111</v>
      </c>
      <c r="J7" s="24" t="s">
        <v>78</v>
      </c>
      <c r="K7" s="24" t="s">
        <v>118</v>
      </c>
      <c r="L7" s="79">
        <v>60</v>
      </c>
      <c r="M7" s="63">
        <v>0</v>
      </c>
      <c r="N7" s="23"/>
      <c r="O7" s="62">
        <v>20</v>
      </c>
      <c r="P7" s="24">
        <v>0</v>
      </c>
      <c r="Q7" s="24">
        <v>0</v>
      </c>
      <c r="R7" s="24">
        <f t="shared" si="1"/>
        <v>80</v>
      </c>
      <c r="S7" s="24">
        <v>0</v>
      </c>
      <c r="T7" s="24">
        <v>0</v>
      </c>
      <c r="U7" s="24">
        <f t="shared" si="0"/>
        <v>80</v>
      </c>
      <c r="V7" s="24" t="s">
        <v>77</v>
      </c>
      <c r="W7" s="23"/>
    </row>
    <row r="8" spans="1:23" ht="15.5" x14ac:dyDescent="0.35">
      <c r="A8" s="32" t="s">
        <v>105</v>
      </c>
      <c r="B8" s="24" t="s">
        <v>60</v>
      </c>
      <c r="C8" s="24" t="s">
        <v>65</v>
      </c>
      <c r="D8" s="24" t="s">
        <v>96</v>
      </c>
      <c r="E8" s="29" t="s">
        <v>89</v>
      </c>
      <c r="F8" s="24" t="s">
        <v>78</v>
      </c>
      <c r="G8" s="24" t="s">
        <v>78</v>
      </c>
      <c r="H8" s="24" t="s">
        <v>78</v>
      </c>
      <c r="I8" s="43" t="s">
        <v>111</v>
      </c>
      <c r="J8" s="24" t="s">
        <v>78</v>
      </c>
      <c r="K8" s="24" t="s">
        <v>118</v>
      </c>
      <c r="L8" s="78">
        <v>20</v>
      </c>
      <c r="M8" s="63">
        <v>0</v>
      </c>
      <c r="N8" s="23"/>
      <c r="O8" s="24">
        <v>0</v>
      </c>
      <c r="P8" s="24">
        <v>0</v>
      </c>
      <c r="Q8" s="24">
        <v>0</v>
      </c>
      <c r="R8" s="24">
        <f t="shared" si="1"/>
        <v>20</v>
      </c>
      <c r="S8" s="24">
        <v>0</v>
      </c>
      <c r="T8" s="24">
        <v>0</v>
      </c>
      <c r="U8" s="24">
        <f t="shared" si="0"/>
        <v>20</v>
      </c>
      <c r="V8" s="24" t="s">
        <v>77</v>
      </c>
      <c r="W8" s="23"/>
    </row>
    <row r="9" spans="1:23" ht="31.15" customHeight="1" x14ac:dyDescent="0.35">
      <c r="A9" s="32" t="s">
        <v>108</v>
      </c>
      <c r="B9" s="29" t="s">
        <v>54</v>
      </c>
      <c r="C9" s="24" t="s">
        <v>72</v>
      </c>
      <c r="D9" s="24" t="s">
        <v>93</v>
      </c>
      <c r="E9" s="29" t="s">
        <v>91</v>
      </c>
      <c r="F9" s="24" t="s">
        <v>78</v>
      </c>
      <c r="G9" s="24" t="s">
        <v>78</v>
      </c>
      <c r="H9" s="43" t="s">
        <v>111</v>
      </c>
      <c r="I9" s="24" t="s">
        <v>78</v>
      </c>
      <c r="J9" s="24" t="s">
        <v>78</v>
      </c>
      <c r="K9" s="24" t="s">
        <v>118</v>
      </c>
      <c r="L9" s="79">
        <v>104</v>
      </c>
      <c r="M9" s="63">
        <v>0</v>
      </c>
      <c r="N9" s="23"/>
      <c r="O9" s="24">
        <v>0</v>
      </c>
      <c r="P9" s="24">
        <v>0</v>
      </c>
      <c r="Q9" s="24">
        <v>0</v>
      </c>
      <c r="R9" s="24">
        <f t="shared" si="1"/>
        <v>84</v>
      </c>
      <c r="S9" s="24">
        <v>10</v>
      </c>
      <c r="T9" s="24">
        <v>0</v>
      </c>
      <c r="U9" s="24">
        <f t="shared" si="0"/>
        <v>104</v>
      </c>
      <c r="V9" s="24" t="s">
        <v>77</v>
      </c>
      <c r="W9" s="23"/>
    </row>
    <row r="10" spans="1:23" ht="15.5" x14ac:dyDescent="0.35">
      <c r="A10" s="32" t="s">
        <v>103</v>
      </c>
      <c r="B10" s="24" t="s">
        <v>48</v>
      </c>
      <c r="C10" s="24" t="s">
        <v>66</v>
      </c>
      <c r="D10" s="24" t="s">
        <v>96</v>
      </c>
      <c r="E10" s="29" t="s">
        <v>89</v>
      </c>
      <c r="F10" s="24" t="s">
        <v>78</v>
      </c>
      <c r="G10" s="24" t="s">
        <v>78</v>
      </c>
      <c r="H10" s="24" t="s">
        <v>78</v>
      </c>
      <c r="I10" s="43" t="s">
        <v>111</v>
      </c>
      <c r="J10" s="24" t="s">
        <v>78</v>
      </c>
      <c r="K10" s="24" t="s">
        <v>118</v>
      </c>
      <c r="L10" s="80">
        <v>29</v>
      </c>
      <c r="M10" s="63">
        <v>1</v>
      </c>
      <c r="N10" s="23"/>
      <c r="O10" s="24">
        <v>0</v>
      </c>
      <c r="P10" s="24">
        <v>0</v>
      </c>
      <c r="Q10" s="24">
        <v>0</v>
      </c>
      <c r="R10" s="24">
        <f t="shared" si="1"/>
        <v>30</v>
      </c>
      <c r="S10" s="24">
        <v>0</v>
      </c>
      <c r="T10" s="24">
        <v>0</v>
      </c>
      <c r="U10" s="24">
        <f t="shared" si="0"/>
        <v>30</v>
      </c>
      <c r="V10" s="24" t="s">
        <v>77</v>
      </c>
      <c r="W10" s="23"/>
    </row>
    <row r="11" spans="1:23" ht="15.5" x14ac:dyDescent="0.35">
      <c r="A11" s="32" t="s">
        <v>102</v>
      </c>
      <c r="B11" s="24" t="s">
        <v>49</v>
      </c>
      <c r="C11" s="24" t="s">
        <v>67</v>
      </c>
      <c r="D11" s="24" t="s">
        <v>96</v>
      </c>
      <c r="E11" s="29" t="s">
        <v>89</v>
      </c>
      <c r="F11" s="24" t="s">
        <v>78</v>
      </c>
      <c r="G11" s="24" t="s">
        <v>78</v>
      </c>
      <c r="H11" s="24" t="s">
        <v>78</v>
      </c>
      <c r="I11" s="43" t="s">
        <v>111</v>
      </c>
      <c r="J11" s="24" t="s">
        <v>78</v>
      </c>
      <c r="K11" s="24" t="s">
        <v>118</v>
      </c>
      <c r="L11" s="78">
        <v>20</v>
      </c>
      <c r="M11" s="63">
        <v>0</v>
      </c>
      <c r="N11" s="23"/>
      <c r="O11" s="24">
        <v>0</v>
      </c>
      <c r="P11" s="24">
        <v>0</v>
      </c>
      <c r="Q11" s="24">
        <v>0</v>
      </c>
      <c r="R11" s="24">
        <f t="shared" si="1"/>
        <v>20</v>
      </c>
      <c r="S11" s="24">
        <v>0</v>
      </c>
      <c r="T11" s="24">
        <v>0</v>
      </c>
      <c r="U11" s="24">
        <f t="shared" si="0"/>
        <v>20</v>
      </c>
      <c r="V11" s="24" t="s">
        <v>77</v>
      </c>
      <c r="W11" s="23"/>
    </row>
    <row r="12" spans="1:23" ht="15.5" x14ac:dyDescent="0.35">
      <c r="A12" s="32" t="s">
        <v>104</v>
      </c>
      <c r="B12" s="24" t="s">
        <v>50</v>
      </c>
      <c r="C12" s="24" t="s">
        <v>68</v>
      </c>
      <c r="D12" s="24" t="s">
        <v>96</v>
      </c>
      <c r="E12" s="29" t="s">
        <v>89</v>
      </c>
      <c r="F12" s="24" t="s">
        <v>78</v>
      </c>
      <c r="G12" s="24" t="s">
        <v>78</v>
      </c>
      <c r="H12" s="24" t="s">
        <v>78</v>
      </c>
      <c r="I12" s="43" t="s">
        <v>111</v>
      </c>
      <c r="J12" s="24" t="s">
        <v>78</v>
      </c>
      <c r="K12" s="24" t="s">
        <v>118</v>
      </c>
      <c r="L12" s="79">
        <v>40</v>
      </c>
      <c r="M12" s="63">
        <v>0</v>
      </c>
      <c r="N12" s="23"/>
      <c r="O12" s="24">
        <v>0</v>
      </c>
      <c r="P12" s="24">
        <v>0</v>
      </c>
      <c r="Q12" s="24">
        <v>0</v>
      </c>
      <c r="R12" s="24">
        <f t="shared" si="1"/>
        <v>40</v>
      </c>
      <c r="S12" s="24">
        <v>0</v>
      </c>
      <c r="T12" s="24">
        <v>0</v>
      </c>
      <c r="U12" s="24">
        <f t="shared" si="0"/>
        <v>40</v>
      </c>
      <c r="V12" s="24" t="s">
        <v>77</v>
      </c>
      <c r="W12" s="23"/>
    </row>
    <row r="13" spans="1:23" ht="15.5" x14ac:dyDescent="0.35">
      <c r="A13" s="32" t="s">
        <v>101</v>
      </c>
      <c r="B13" s="24" t="s">
        <v>51</v>
      </c>
      <c r="C13" s="24" t="s">
        <v>69</v>
      </c>
      <c r="D13" s="24" t="s">
        <v>96</v>
      </c>
      <c r="E13" s="29" t="s">
        <v>89</v>
      </c>
      <c r="F13" s="24" t="s">
        <v>78</v>
      </c>
      <c r="G13" s="24" t="s">
        <v>78</v>
      </c>
      <c r="H13" s="24" t="s">
        <v>78</v>
      </c>
      <c r="I13" s="43" t="s">
        <v>111</v>
      </c>
      <c r="J13" s="24" t="s">
        <v>78</v>
      </c>
      <c r="K13" s="24" t="s">
        <v>118</v>
      </c>
      <c r="L13" s="78">
        <v>30</v>
      </c>
      <c r="M13" s="63">
        <v>0</v>
      </c>
      <c r="N13" s="23"/>
      <c r="O13" s="24">
        <v>0</v>
      </c>
      <c r="P13" s="24">
        <v>0</v>
      </c>
      <c r="Q13" s="24">
        <v>0</v>
      </c>
      <c r="R13" s="24">
        <f t="shared" si="1"/>
        <v>30</v>
      </c>
      <c r="S13" s="24">
        <v>0</v>
      </c>
      <c r="T13" s="24">
        <v>0</v>
      </c>
      <c r="U13" s="24">
        <f t="shared" si="0"/>
        <v>30</v>
      </c>
      <c r="V13" s="24" t="s">
        <v>77</v>
      </c>
      <c r="W13" s="23"/>
    </row>
    <row r="14" spans="1:23" ht="15.5" x14ac:dyDescent="0.35">
      <c r="A14" s="32" t="s">
        <v>100</v>
      </c>
      <c r="B14" s="24" t="s">
        <v>52</v>
      </c>
      <c r="C14" s="24" t="s">
        <v>70</v>
      </c>
      <c r="D14" s="24" t="s">
        <v>96</v>
      </c>
      <c r="E14" s="29" t="s">
        <v>89</v>
      </c>
      <c r="F14" s="24" t="s">
        <v>78</v>
      </c>
      <c r="G14" s="24" t="s">
        <v>78</v>
      </c>
      <c r="H14" s="24" t="s">
        <v>78</v>
      </c>
      <c r="I14" s="43" t="s">
        <v>111</v>
      </c>
      <c r="J14" s="24" t="s">
        <v>78</v>
      </c>
      <c r="K14" s="24" t="s">
        <v>118</v>
      </c>
      <c r="L14" s="79">
        <v>20</v>
      </c>
      <c r="M14" s="63">
        <v>0</v>
      </c>
      <c r="N14" s="23"/>
      <c r="O14" s="24">
        <v>0</v>
      </c>
      <c r="P14" s="24">
        <v>0</v>
      </c>
      <c r="Q14" s="24">
        <v>0</v>
      </c>
      <c r="R14" s="24">
        <f t="shared" si="1"/>
        <v>20</v>
      </c>
      <c r="S14" s="24">
        <v>0</v>
      </c>
      <c r="T14" s="24">
        <v>0</v>
      </c>
      <c r="U14" s="24">
        <f t="shared" si="0"/>
        <v>20</v>
      </c>
      <c r="V14" s="24" t="s">
        <v>77</v>
      </c>
      <c r="W14" s="23"/>
    </row>
    <row r="15" spans="1:23" s="21" customFormat="1" ht="15.5" x14ac:dyDescent="0.35">
      <c r="A15" s="32" t="s">
        <v>39</v>
      </c>
      <c r="B15" s="24" t="s">
        <v>53</v>
      </c>
      <c r="C15" s="24" t="s">
        <v>71</v>
      </c>
      <c r="D15" s="24" t="s">
        <v>96</v>
      </c>
      <c r="E15" s="29" t="s">
        <v>89</v>
      </c>
      <c r="F15" s="24" t="s">
        <v>78</v>
      </c>
      <c r="G15" s="24" t="s">
        <v>78</v>
      </c>
      <c r="H15" s="24" t="s">
        <v>78</v>
      </c>
      <c r="I15" s="43" t="s">
        <v>111</v>
      </c>
      <c r="J15" s="24" t="s">
        <v>78</v>
      </c>
      <c r="K15" s="24" t="s">
        <v>118</v>
      </c>
      <c r="L15" s="78">
        <v>40</v>
      </c>
      <c r="M15" s="63">
        <v>0</v>
      </c>
      <c r="N15" s="23"/>
      <c r="O15" s="24">
        <v>0</v>
      </c>
      <c r="P15" s="24">
        <v>0</v>
      </c>
      <c r="Q15" s="24">
        <v>0</v>
      </c>
      <c r="R15" s="24">
        <f t="shared" si="1"/>
        <v>40</v>
      </c>
      <c r="S15" s="24">
        <v>0</v>
      </c>
      <c r="T15" s="24">
        <v>0</v>
      </c>
      <c r="U15" s="24">
        <f t="shared" si="0"/>
        <v>40</v>
      </c>
      <c r="V15" s="24" t="s">
        <v>77</v>
      </c>
      <c r="W15" s="23"/>
    </row>
    <row r="16" spans="1:23" ht="15.5" x14ac:dyDescent="0.35">
      <c r="A16" s="32" t="s">
        <v>43</v>
      </c>
      <c r="B16" s="24" t="s">
        <v>55</v>
      </c>
      <c r="C16" s="24" t="s">
        <v>73</v>
      </c>
      <c r="D16" s="24" t="s">
        <v>96</v>
      </c>
      <c r="E16" s="29" t="s">
        <v>89</v>
      </c>
      <c r="F16" s="24" t="s">
        <v>78</v>
      </c>
      <c r="G16" s="24" t="s">
        <v>78</v>
      </c>
      <c r="H16" s="24" t="s">
        <v>78</v>
      </c>
      <c r="I16" s="43" t="s">
        <v>111</v>
      </c>
      <c r="J16" s="24" t="s">
        <v>78</v>
      </c>
      <c r="K16" s="24" t="s">
        <v>118</v>
      </c>
      <c r="L16" s="78">
        <v>30</v>
      </c>
      <c r="M16" s="63">
        <v>0</v>
      </c>
      <c r="N16" s="23"/>
      <c r="O16" s="63">
        <v>20</v>
      </c>
      <c r="P16" s="24">
        <v>0</v>
      </c>
      <c r="Q16" s="24">
        <v>0</v>
      </c>
      <c r="R16" s="24">
        <f t="shared" si="1"/>
        <v>50</v>
      </c>
      <c r="S16" s="24">
        <v>0</v>
      </c>
      <c r="T16" s="24">
        <v>0</v>
      </c>
      <c r="U16" s="24">
        <f t="shared" si="0"/>
        <v>50</v>
      </c>
      <c r="V16" s="24" t="s">
        <v>77</v>
      </c>
      <c r="W16" s="23"/>
    </row>
    <row r="17" spans="1:26" ht="15.5" x14ac:dyDescent="0.35">
      <c r="A17" s="32" t="s">
        <v>99</v>
      </c>
      <c r="B17" s="24" t="s">
        <v>56</v>
      </c>
      <c r="C17" s="24" t="s">
        <v>74</v>
      </c>
      <c r="D17" s="24" t="s">
        <v>96</v>
      </c>
      <c r="E17" s="29" t="s">
        <v>89</v>
      </c>
      <c r="F17" s="24" t="s">
        <v>78</v>
      </c>
      <c r="G17" s="24" t="s">
        <v>78</v>
      </c>
      <c r="H17" s="24" t="s">
        <v>78</v>
      </c>
      <c r="I17" s="43" t="s">
        <v>111</v>
      </c>
      <c r="J17" s="24" t="s">
        <v>78</v>
      </c>
      <c r="K17" s="24" t="s">
        <v>118</v>
      </c>
      <c r="L17" s="79">
        <v>20</v>
      </c>
      <c r="M17" s="63">
        <v>0</v>
      </c>
      <c r="N17" s="23"/>
      <c r="O17" s="24">
        <v>0</v>
      </c>
      <c r="P17" s="24">
        <v>0</v>
      </c>
      <c r="Q17" s="24">
        <v>0</v>
      </c>
      <c r="R17" s="24">
        <f t="shared" si="1"/>
        <v>20</v>
      </c>
      <c r="S17" s="24">
        <v>0</v>
      </c>
      <c r="T17" s="24">
        <v>0</v>
      </c>
      <c r="U17" s="24">
        <f t="shared" si="0"/>
        <v>20</v>
      </c>
      <c r="V17" s="24" t="s">
        <v>77</v>
      </c>
      <c r="W17" s="23"/>
    </row>
    <row r="18" spans="1:26" ht="27.65" customHeight="1" x14ac:dyDescent="0.35">
      <c r="A18" s="33" t="s">
        <v>112</v>
      </c>
      <c r="B18" s="26" t="s">
        <v>57</v>
      </c>
      <c r="C18" s="26" t="s">
        <v>75</v>
      </c>
      <c r="D18" s="24" t="s">
        <v>96</v>
      </c>
      <c r="E18" s="30" t="s">
        <v>92</v>
      </c>
      <c r="F18" s="26" t="s">
        <v>78</v>
      </c>
      <c r="G18" s="26" t="s">
        <v>78</v>
      </c>
      <c r="H18" s="44" t="s">
        <v>111</v>
      </c>
      <c r="I18" s="24" t="s">
        <v>78</v>
      </c>
      <c r="J18" s="24" t="s">
        <v>78</v>
      </c>
      <c r="K18" s="24" t="s">
        <v>118</v>
      </c>
      <c r="L18" s="81">
        <v>76</v>
      </c>
      <c r="M18" s="82">
        <v>0</v>
      </c>
      <c r="N18" s="25"/>
      <c r="O18" s="24">
        <v>0</v>
      </c>
      <c r="P18" s="26">
        <v>0</v>
      </c>
      <c r="Q18" s="26">
        <v>0</v>
      </c>
      <c r="R18" s="24">
        <f t="shared" si="1"/>
        <v>12</v>
      </c>
      <c r="S18" s="26">
        <v>26</v>
      </c>
      <c r="T18" s="26">
        <v>4</v>
      </c>
      <c r="U18" s="24">
        <f t="shared" si="0"/>
        <v>76</v>
      </c>
      <c r="V18" s="26" t="s">
        <v>77</v>
      </c>
      <c r="W18" s="25"/>
    </row>
    <row r="19" spans="1:26" s="19" customFormat="1" ht="31.5" thickBot="1" x14ac:dyDescent="0.4">
      <c r="A19" s="34" t="s">
        <v>98</v>
      </c>
      <c r="B19" s="28" t="s">
        <v>58</v>
      </c>
      <c r="C19" s="28" t="s">
        <v>76</v>
      </c>
      <c r="D19" s="28" t="s">
        <v>96</v>
      </c>
      <c r="E19" s="31" t="s">
        <v>89</v>
      </c>
      <c r="F19" s="28" t="s">
        <v>78</v>
      </c>
      <c r="G19" s="28" t="s">
        <v>78</v>
      </c>
      <c r="H19" s="28" t="s">
        <v>78</v>
      </c>
      <c r="I19" s="45" t="s">
        <v>111</v>
      </c>
      <c r="J19" s="28" t="s">
        <v>78</v>
      </c>
      <c r="K19" s="28" t="s">
        <v>118</v>
      </c>
      <c r="L19" s="83">
        <v>26</v>
      </c>
      <c r="M19" s="84">
        <v>0</v>
      </c>
      <c r="N19" s="27"/>
      <c r="O19" s="28">
        <v>0</v>
      </c>
      <c r="P19" s="28">
        <v>0</v>
      </c>
      <c r="Q19" s="28">
        <v>0</v>
      </c>
      <c r="R19" s="28">
        <f t="shared" si="1"/>
        <v>26</v>
      </c>
      <c r="S19" s="28">
        <v>0</v>
      </c>
      <c r="T19" s="28">
        <v>0</v>
      </c>
      <c r="U19" s="28">
        <f t="shared" si="0"/>
        <v>26</v>
      </c>
      <c r="V19" s="28" t="s">
        <v>77</v>
      </c>
      <c r="W19" s="23"/>
      <c r="X19"/>
      <c r="Y19"/>
      <c r="Z19"/>
    </row>
    <row r="20" spans="1:26" s="20" customFormat="1" ht="25.15" customHeight="1" thickTop="1" x14ac:dyDescent="0.35">
      <c r="A20" s="37" t="s">
        <v>97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46">
        <f>SUM(L4:L19)</f>
        <v>705</v>
      </c>
      <c r="M20" s="46">
        <f>SUM(M4:M19)</f>
        <v>2</v>
      </c>
      <c r="N20" s="46">
        <v>14</v>
      </c>
      <c r="O20" s="46">
        <f>SUM(O4:O19)</f>
        <v>40</v>
      </c>
      <c r="P20" s="38"/>
      <c r="Q20" s="38"/>
      <c r="R20" s="38"/>
      <c r="S20" s="38"/>
      <c r="T20" s="38"/>
      <c r="U20" s="38">
        <f>SUM(U4:U19)</f>
        <v>747</v>
      </c>
      <c r="V20" s="37"/>
      <c r="W20" s="39"/>
    </row>
    <row r="23" spans="1:26" ht="27.5" customHeight="1" x14ac:dyDescent="0.35">
      <c r="A23" s="85" t="s">
        <v>209</v>
      </c>
      <c r="B23" s="85"/>
      <c r="C23" s="85"/>
      <c r="D23" s="85"/>
      <c r="E23" s="85"/>
      <c r="F23" s="85"/>
    </row>
  </sheetData>
  <sortState xmlns:xlrd2="http://schemas.microsoft.com/office/spreadsheetml/2017/richdata2" ref="A4:V19">
    <sortCondition ref="A4:A19"/>
  </sortState>
  <mergeCells count="6">
    <mergeCell ref="A23:F23"/>
    <mergeCell ref="R1:T1"/>
    <mergeCell ref="B2:C2"/>
    <mergeCell ref="O2:Q2"/>
    <mergeCell ref="S2:T2"/>
    <mergeCell ref="I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4A9A-A2C6-49D0-9E4D-1330D8B8B6CE}">
  <dimension ref="A1:R19"/>
  <sheetViews>
    <sheetView zoomScale="60" zoomScaleNormal="60" workbookViewId="0">
      <pane xSplit="1" topLeftCell="C1" activePane="topRight" state="frozen"/>
      <selection pane="topRight" activeCell="I15" sqref="I15"/>
    </sheetView>
  </sheetViews>
  <sheetFormatPr defaultColWidth="8.54296875" defaultRowHeight="15.5" x14ac:dyDescent="0.35"/>
  <cols>
    <col min="1" max="1" width="43" style="56" customWidth="1"/>
    <col min="2" max="2" width="20.453125" customWidth="1"/>
    <col min="3" max="3" width="60.453125" customWidth="1"/>
    <col min="4" max="4" width="20.453125" customWidth="1"/>
    <col min="5" max="5" width="24" customWidth="1"/>
    <col min="6" max="6" width="20.453125" customWidth="1"/>
    <col min="7" max="7" width="37.453125" customWidth="1"/>
    <col min="8" max="8" width="30.1796875" customWidth="1"/>
    <col min="9" max="10" width="20.453125" customWidth="1"/>
    <col min="11" max="11" width="43.453125" customWidth="1"/>
    <col min="12" max="12" width="25" customWidth="1"/>
    <col min="13" max="14" width="26.1796875" customWidth="1"/>
    <col min="15" max="15" width="26.453125" customWidth="1"/>
    <col min="16" max="16" width="15.453125" customWidth="1"/>
  </cols>
  <sheetData>
    <row r="1" spans="1:15" ht="18" x14ac:dyDescent="0.35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s="48" customFormat="1" ht="108.5" x14ac:dyDescent="0.35">
      <c r="A2" s="52" t="s">
        <v>37</v>
      </c>
      <c r="B2" s="47" t="s">
        <v>7</v>
      </c>
      <c r="C2" s="47" t="s">
        <v>8</v>
      </c>
      <c r="D2" s="47" t="s">
        <v>34</v>
      </c>
      <c r="E2" s="47" t="s">
        <v>9</v>
      </c>
      <c r="F2" s="47" t="s">
        <v>10</v>
      </c>
      <c r="G2" s="47" t="s">
        <v>11</v>
      </c>
      <c r="H2" s="47" t="s">
        <v>12</v>
      </c>
      <c r="I2" s="47" t="s">
        <v>35</v>
      </c>
      <c r="J2" s="47" t="s">
        <v>13</v>
      </c>
      <c r="K2" s="47" t="s">
        <v>36</v>
      </c>
      <c r="L2" s="47" t="s">
        <v>14</v>
      </c>
      <c r="M2" s="47" t="s">
        <v>15</v>
      </c>
      <c r="N2" s="47" t="s">
        <v>25</v>
      </c>
      <c r="O2" s="47" t="s">
        <v>16</v>
      </c>
    </row>
    <row r="3" spans="1:15" ht="28" x14ac:dyDescent="0.35">
      <c r="A3" s="53" t="s">
        <v>88</v>
      </c>
      <c r="B3" s="57" t="s">
        <v>94</v>
      </c>
      <c r="C3" s="58" t="s">
        <v>176</v>
      </c>
      <c r="D3" s="57" t="s">
        <v>94</v>
      </c>
      <c r="E3" s="58" t="s">
        <v>181</v>
      </c>
      <c r="F3" s="58" t="s">
        <v>95</v>
      </c>
      <c r="G3" s="58" t="s">
        <v>182</v>
      </c>
      <c r="H3" s="58" t="s">
        <v>121</v>
      </c>
      <c r="I3" s="58" t="s">
        <v>183</v>
      </c>
      <c r="J3" s="58" t="s">
        <v>175</v>
      </c>
      <c r="K3" s="58" t="s">
        <v>94</v>
      </c>
      <c r="L3" s="58" t="s">
        <v>201</v>
      </c>
      <c r="M3" s="58" t="s">
        <v>190</v>
      </c>
      <c r="N3" s="58">
        <v>1</v>
      </c>
      <c r="O3" s="58"/>
    </row>
    <row r="4" spans="1:15" ht="70" x14ac:dyDescent="0.35">
      <c r="A4" s="53" t="s">
        <v>40</v>
      </c>
      <c r="B4" s="57" t="s">
        <v>95</v>
      </c>
      <c r="C4" s="58" t="s">
        <v>174</v>
      </c>
      <c r="D4" s="57" t="s">
        <v>94</v>
      </c>
      <c r="E4" s="58" t="s">
        <v>173</v>
      </c>
      <c r="F4" s="58" t="s">
        <v>95</v>
      </c>
      <c r="G4" s="58" t="s">
        <v>172</v>
      </c>
      <c r="H4" s="58" t="s">
        <v>77</v>
      </c>
      <c r="I4" s="58" t="s">
        <v>183</v>
      </c>
      <c r="J4" s="58" t="s">
        <v>171</v>
      </c>
      <c r="K4" s="58" t="s">
        <v>170</v>
      </c>
      <c r="L4" s="58" t="s">
        <v>202</v>
      </c>
      <c r="M4" s="58" t="s">
        <v>169</v>
      </c>
      <c r="N4" s="58">
        <v>2</v>
      </c>
      <c r="O4" s="58"/>
    </row>
    <row r="5" spans="1:15" ht="70" x14ac:dyDescent="0.35">
      <c r="A5" s="53" t="s">
        <v>41</v>
      </c>
      <c r="B5" s="57" t="s">
        <v>95</v>
      </c>
      <c r="C5" s="58" t="s">
        <v>121</v>
      </c>
      <c r="D5" s="57" t="s">
        <v>94</v>
      </c>
      <c r="E5" s="58" t="s">
        <v>168</v>
      </c>
      <c r="F5" s="58" t="s">
        <v>94</v>
      </c>
      <c r="G5" s="58" t="s">
        <v>167</v>
      </c>
      <c r="H5" s="58" t="s">
        <v>77</v>
      </c>
      <c r="I5" s="58" t="s">
        <v>185</v>
      </c>
      <c r="J5" s="58" t="s">
        <v>166</v>
      </c>
      <c r="K5" s="58" t="s">
        <v>165</v>
      </c>
      <c r="L5" s="58" t="s">
        <v>203</v>
      </c>
      <c r="M5" s="58" t="s">
        <v>164</v>
      </c>
      <c r="N5" s="58">
        <v>1</v>
      </c>
      <c r="O5" s="58"/>
    </row>
    <row r="6" spans="1:15" ht="28" x14ac:dyDescent="0.35">
      <c r="A6" s="53" t="s">
        <v>79</v>
      </c>
      <c r="B6" s="57" t="s">
        <v>94</v>
      </c>
      <c r="C6" s="64" t="s">
        <v>188</v>
      </c>
      <c r="D6" s="65" t="s">
        <v>94</v>
      </c>
      <c r="E6" s="58" t="s">
        <v>178</v>
      </c>
      <c r="F6" s="58" t="s">
        <v>94</v>
      </c>
      <c r="G6" s="58" t="s">
        <v>163</v>
      </c>
      <c r="H6" s="58" t="s">
        <v>77</v>
      </c>
      <c r="I6" s="58" t="s">
        <v>183</v>
      </c>
      <c r="J6" s="58" t="s">
        <v>162</v>
      </c>
      <c r="K6" s="58" t="s">
        <v>161</v>
      </c>
      <c r="L6" s="58" t="s">
        <v>204</v>
      </c>
      <c r="M6" s="58" t="s">
        <v>192</v>
      </c>
      <c r="N6" s="58">
        <v>1</v>
      </c>
      <c r="O6" s="58"/>
    </row>
    <row r="7" spans="1:15" ht="42" x14ac:dyDescent="0.35">
      <c r="A7" s="53" t="s">
        <v>80</v>
      </c>
      <c r="B7" s="57" t="s">
        <v>94</v>
      </c>
      <c r="C7" s="58" t="s">
        <v>160</v>
      </c>
      <c r="D7" s="57" t="s">
        <v>94</v>
      </c>
      <c r="E7" s="58" t="s">
        <v>159</v>
      </c>
      <c r="F7" s="58" t="s">
        <v>94</v>
      </c>
      <c r="G7" s="58" t="s">
        <v>158</v>
      </c>
      <c r="H7" s="58" t="s">
        <v>157</v>
      </c>
      <c r="I7" s="58" t="s">
        <v>183</v>
      </c>
      <c r="J7" s="58" t="s">
        <v>156</v>
      </c>
      <c r="K7" s="58" t="s">
        <v>94</v>
      </c>
      <c r="L7" s="58" t="s">
        <v>77</v>
      </c>
      <c r="M7" s="58" t="s">
        <v>191</v>
      </c>
      <c r="N7" s="58">
        <v>1</v>
      </c>
      <c r="O7" s="58"/>
    </row>
    <row r="8" spans="1:15" ht="28" x14ac:dyDescent="0.35">
      <c r="A8" s="53" t="s">
        <v>81</v>
      </c>
      <c r="B8" s="57" t="s">
        <v>95</v>
      </c>
      <c r="C8" s="58" t="s">
        <v>121</v>
      </c>
      <c r="D8" s="57" t="s">
        <v>94</v>
      </c>
      <c r="E8" s="58" t="s">
        <v>155</v>
      </c>
      <c r="F8" s="58" t="s">
        <v>94</v>
      </c>
      <c r="G8" s="58" t="s">
        <v>154</v>
      </c>
      <c r="H8" s="58" t="s">
        <v>149</v>
      </c>
      <c r="I8" s="58" t="s">
        <v>183</v>
      </c>
      <c r="J8" s="58" t="s">
        <v>153</v>
      </c>
      <c r="K8" s="58" t="s">
        <v>94</v>
      </c>
      <c r="L8" s="58" t="s">
        <v>201</v>
      </c>
      <c r="M8" s="58" t="s">
        <v>147</v>
      </c>
      <c r="N8" s="58">
        <v>1</v>
      </c>
      <c r="O8" s="58"/>
    </row>
    <row r="9" spans="1:15" ht="28" x14ac:dyDescent="0.35">
      <c r="A9" s="53" t="s">
        <v>82</v>
      </c>
      <c r="B9" s="57" t="s">
        <v>94</v>
      </c>
      <c r="C9" s="58" t="s">
        <v>152</v>
      </c>
      <c r="D9" s="57" t="s">
        <v>94</v>
      </c>
      <c r="E9" s="58" t="s">
        <v>151</v>
      </c>
      <c r="F9" s="58" t="s">
        <v>94</v>
      </c>
      <c r="G9" s="58" t="s">
        <v>150</v>
      </c>
      <c r="H9" s="58" t="s">
        <v>149</v>
      </c>
      <c r="I9" s="58" t="s">
        <v>183</v>
      </c>
      <c r="J9" s="58" t="s">
        <v>148</v>
      </c>
      <c r="K9" s="58" t="s">
        <v>198</v>
      </c>
      <c r="L9" s="58" t="s">
        <v>205</v>
      </c>
      <c r="M9" s="58" t="s">
        <v>147</v>
      </c>
      <c r="N9" s="58">
        <v>1</v>
      </c>
      <c r="O9" s="58"/>
    </row>
    <row r="10" spans="1:15" ht="28" x14ac:dyDescent="0.35">
      <c r="A10" s="53" t="s">
        <v>83</v>
      </c>
      <c r="B10" s="57" t="s">
        <v>95</v>
      </c>
      <c r="C10" s="58" t="s">
        <v>121</v>
      </c>
      <c r="D10" s="57" t="s">
        <v>94</v>
      </c>
      <c r="E10" s="58" t="s">
        <v>146</v>
      </c>
      <c r="F10" s="58" t="s">
        <v>94</v>
      </c>
      <c r="G10" s="58" t="s">
        <v>145</v>
      </c>
      <c r="H10" s="58" t="s">
        <v>121</v>
      </c>
      <c r="I10" s="58" t="s">
        <v>183</v>
      </c>
      <c r="J10" s="58" t="s">
        <v>199</v>
      </c>
      <c r="K10" s="58" t="s">
        <v>94</v>
      </c>
      <c r="L10" s="58" t="s">
        <v>204</v>
      </c>
      <c r="M10" s="58" t="s">
        <v>197</v>
      </c>
      <c r="N10" s="58">
        <v>1</v>
      </c>
      <c r="O10" s="58"/>
    </row>
    <row r="11" spans="1:15" ht="28" x14ac:dyDescent="0.35">
      <c r="A11" s="53" t="s">
        <v>84</v>
      </c>
      <c r="B11" s="57" t="s">
        <v>95</v>
      </c>
      <c r="C11" s="58" t="s">
        <v>121</v>
      </c>
      <c r="D11" s="57" t="s">
        <v>95</v>
      </c>
      <c r="E11" s="58" t="s">
        <v>180</v>
      </c>
      <c r="F11" s="58"/>
      <c r="G11" s="58"/>
      <c r="H11" s="58" t="s">
        <v>121</v>
      </c>
      <c r="I11" s="58" t="s">
        <v>183</v>
      </c>
      <c r="J11" s="58" t="s">
        <v>144</v>
      </c>
      <c r="K11" s="58" t="s">
        <v>94</v>
      </c>
      <c r="L11" s="58" t="s">
        <v>204</v>
      </c>
      <c r="M11" s="58" t="s">
        <v>193</v>
      </c>
      <c r="N11" s="58">
        <v>1</v>
      </c>
      <c r="O11" s="58"/>
    </row>
    <row r="12" spans="1:15" ht="28" x14ac:dyDescent="0.35">
      <c r="A12" s="53" t="s">
        <v>85</v>
      </c>
      <c r="B12" s="57" t="s">
        <v>95</v>
      </c>
      <c r="C12" s="58" t="s">
        <v>121</v>
      </c>
      <c r="D12" s="57" t="s">
        <v>94</v>
      </c>
      <c r="E12" s="58" t="s">
        <v>143</v>
      </c>
      <c r="F12" s="58" t="s">
        <v>94</v>
      </c>
      <c r="G12" s="58" t="s">
        <v>142</v>
      </c>
      <c r="H12" s="58" t="s">
        <v>121</v>
      </c>
      <c r="I12" s="58" t="s">
        <v>183</v>
      </c>
      <c r="J12" s="58" t="s">
        <v>141</v>
      </c>
      <c r="K12" s="58" t="s">
        <v>94</v>
      </c>
      <c r="L12" s="58" t="s">
        <v>201</v>
      </c>
      <c r="M12" s="58" t="s">
        <v>140</v>
      </c>
      <c r="N12" s="58">
        <v>1</v>
      </c>
      <c r="O12" s="58"/>
    </row>
    <row r="13" spans="1:15" ht="28" x14ac:dyDescent="0.35">
      <c r="A13" s="53" t="s">
        <v>39</v>
      </c>
      <c r="B13" s="57" t="s">
        <v>94</v>
      </c>
      <c r="C13" s="64" t="s">
        <v>139</v>
      </c>
      <c r="D13" s="65" t="s">
        <v>94</v>
      </c>
      <c r="E13" s="58"/>
      <c r="F13" s="58" t="s">
        <v>95</v>
      </c>
      <c r="G13" s="58" t="s">
        <v>179</v>
      </c>
      <c r="H13" s="58" t="s">
        <v>121</v>
      </c>
      <c r="I13" s="58" t="s">
        <v>183</v>
      </c>
      <c r="J13" s="58" t="s">
        <v>138</v>
      </c>
      <c r="K13" s="58" t="s">
        <v>94</v>
      </c>
      <c r="L13" s="58" t="s">
        <v>206</v>
      </c>
      <c r="M13" s="58" t="s">
        <v>194</v>
      </c>
      <c r="N13" s="58">
        <v>1</v>
      </c>
      <c r="O13" s="58"/>
    </row>
    <row r="14" spans="1:15" ht="70" x14ac:dyDescent="0.35">
      <c r="A14" s="53" t="s">
        <v>42</v>
      </c>
      <c r="B14" s="57" t="s">
        <v>95</v>
      </c>
      <c r="C14" s="64" t="s">
        <v>121</v>
      </c>
      <c r="D14" s="65" t="s">
        <v>94</v>
      </c>
      <c r="E14" s="58" t="s">
        <v>137</v>
      </c>
      <c r="F14" s="58" t="s">
        <v>94</v>
      </c>
      <c r="G14" s="58" t="s">
        <v>136</v>
      </c>
      <c r="H14" s="58" t="s">
        <v>135</v>
      </c>
      <c r="I14" s="58" t="s">
        <v>183</v>
      </c>
      <c r="J14" s="58" t="s">
        <v>134</v>
      </c>
      <c r="K14" s="58" t="s">
        <v>133</v>
      </c>
      <c r="L14" s="58" t="s">
        <v>207</v>
      </c>
      <c r="M14" s="58" t="s">
        <v>189</v>
      </c>
      <c r="N14" s="58">
        <v>2</v>
      </c>
      <c r="O14" s="58"/>
    </row>
    <row r="15" spans="1:15" ht="56" x14ac:dyDescent="0.35">
      <c r="A15" s="53" t="s">
        <v>43</v>
      </c>
      <c r="B15" s="57" t="s">
        <v>94</v>
      </c>
      <c r="C15" s="64" t="s">
        <v>177</v>
      </c>
      <c r="D15" s="65" t="s">
        <v>94</v>
      </c>
      <c r="E15" s="58" t="s">
        <v>178</v>
      </c>
      <c r="F15" s="58" t="s">
        <v>94</v>
      </c>
      <c r="G15" s="58" t="s">
        <v>132</v>
      </c>
      <c r="H15" s="58" t="s">
        <v>131</v>
      </c>
      <c r="I15" s="58" t="s">
        <v>183</v>
      </c>
      <c r="J15" s="58" t="s">
        <v>130</v>
      </c>
      <c r="K15" s="58" t="s">
        <v>198</v>
      </c>
      <c r="L15" s="58" t="s">
        <v>202</v>
      </c>
      <c r="M15" s="58" t="s">
        <v>195</v>
      </c>
      <c r="N15" s="58">
        <v>1</v>
      </c>
      <c r="O15" s="58"/>
    </row>
    <row r="16" spans="1:15" ht="28" x14ac:dyDescent="0.35">
      <c r="A16" s="53" t="s">
        <v>86</v>
      </c>
      <c r="B16" s="57" t="s">
        <v>94</v>
      </c>
      <c r="C16" s="64" t="s">
        <v>129</v>
      </c>
      <c r="D16" s="65" t="s">
        <v>94</v>
      </c>
      <c r="E16" s="58" t="s">
        <v>128</v>
      </c>
      <c r="F16" s="58" t="s">
        <v>94</v>
      </c>
      <c r="G16" s="58" t="s">
        <v>127</v>
      </c>
      <c r="H16" s="58" t="s">
        <v>121</v>
      </c>
      <c r="I16" s="58" t="s">
        <v>183</v>
      </c>
      <c r="J16" s="58" t="s">
        <v>126</v>
      </c>
      <c r="K16" s="58" t="s">
        <v>94</v>
      </c>
      <c r="L16" s="58" t="s">
        <v>201</v>
      </c>
      <c r="M16" s="58" t="s">
        <v>196</v>
      </c>
      <c r="N16" s="58">
        <v>1</v>
      </c>
      <c r="O16" s="58" t="s">
        <v>186</v>
      </c>
    </row>
    <row r="17" spans="1:18" ht="28" x14ac:dyDescent="0.35">
      <c r="A17" s="53" t="s">
        <v>87</v>
      </c>
      <c r="B17" s="57" t="s">
        <v>94</v>
      </c>
      <c r="C17" s="64" t="s">
        <v>187</v>
      </c>
      <c r="D17" s="65" t="s">
        <v>95</v>
      </c>
      <c r="E17" s="58"/>
      <c r="F17" s="58"/>
      <c r="G17" s="58"/>
      <c r="H17" s="58" t="s">
        <v>121</v>
      </c>
      <c r="I17" s="58" t="s">
        <v>184</v>
      </c>
      <c r="J17" s="58" t="s">
        <v>125</v>
      </c>
      <c r="K17" s="58" t="s">
        <v>200</v>
      </c>
      <c r="L17" s="58" t="s">
        <v>208</v>
      </c>
      <c r="M17" s="58" t="s">
        <v>124</v>
      </c>
      <c r="N17" s="58">
        <v>1</v>
      </c>
      <c r="O17" s="58"/>
    </row>
    <row r="18" spans="1:18" s="49" customFormat="1" ht="28.5" thickBot="1" x14ac:dyDescent="0.4">
      <c r="A18" s="54" t="s">
        <v>44</v>
      </c>
      <c r="B18" s="59" t="s">
        <v>95</v>
      </c>
      <c r="C18" s="66" t="s">
        <v>121</v>
      </c>
      <c r="D18" s="67" t="s">
        <v>94</v>
      </c>
      <c r="E18" s="60" t="s">
        <v>123</v>
      </c>
      <c r="F18" s="60" t="s">
        <v>94</v>
      </c>
      <c r="G18" s="60" t="s">
        <v>122</v>
      </c>
      <c r="H18" s="60" t="s">
        <v>121</v>
      </c>
      <c r="I18" s="60" t="s">
        <v>183</v>
      </c>
      <c r="J18" s="60" t="s">
        <v>120</v>
      </c>
      <c r="K18" s="58" t="s">
        <v>198</v>
      </c>
      <c r="L18" s="58" t="s">
        <v>204</v>
      </c>
      <c r="M18" s="60" t="s">
        <v>193</v>
      </c>
      <c r="N18" s="60">
        <v>1</v>
      </c>
      <c r="O18" s="60"/>
      <c r="P18"/>
      <c r="Q18"/>
      <c r="R18"/>
    </row>
    <row r="19" spans="1:18" ht="35.5" customHeight="1" thickTop="1" x14ac:dyDescent="0.35">
      <c r="A19" s="55"/>
      <c r="B19" s="61" t="s">
        <v>119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LCB</vt:lpstr>
      <vt:lpstr>SH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Ananna</dc:creator>
  <cp:lastModifiedBy>Rahman, Ananna</cp:lastModifiedBy>
  <dcterms:created xsi:type="dcterms:W3CDTF">2025-11-19T00:34:02Z</dcterms:created>
  <dcterms:modified xsi:type="dcterms:W3CDTF">2026-04-27T19:33:21Z</dcterms:modified>
</cp:coreProperties>
</file>