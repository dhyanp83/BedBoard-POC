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202300"/>
  <mc:AlternateContent xmlns:mc="http://schemas.openxmlformats.org/markup-compatibility/2006">
    <mc:Choice Requires="x15">
      <x15ac:absPath xmlns:x15ac="http://schemas.microsoft.com/office/spreadsheetml/2010/11/ac" url="P:\D21\LC\PCH Unit\[NEW] Information and Tracking\Bed Maps and PCH Information\2025\Feedback From Regions\SH-SS Feedback\Combined\"/>
    </mc:Choice>
  </mc:AlternateContent>
  <xr:revisionPtr revIDLastSave="0" documentId="13_ncr:1_{467437D0-F3CE-4BA5-B651-41AC7742D7B1}" xr6:coauthVersionLast="47" xr6:coauthVersionMax="47" xr10:uidLastSave="{00000000-0000-0000-0000-000000000000}"/>
  <bookViews>
    <workbookView xWindow="-110" yWindow="-110" windowWidth="19420" windowHeight="12300" tabRatio="367" xr2:uid="{C20E4F64-A442-484B-9DDD-0776CE7E3D87}"/>
  </bookViews>
  <sheets>
    <sheet name="LCB" sheetId="3" r:id="rId1"/>
    <sheet name="SH"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3" l="1"/>
  <c r="U20" i="3" l="1"/>
  <c r="U15" i="3"/>
  <c r="U10" i="3"/>
  <c r="U9" i="3"/>
  <c r="U7" i="3"/>
  <c r="U6" i="3"/>
  <c r="S26" i="3"/>
  <c r="U8" i="3"/>
  <c r="U11" i="3"/>
  <c r="U12" i="3"/>
  <c r="U13" i="3"/>
  <c r="U14" i="3"/>
  <c r="U16" i="3"/>
  <c r="U17" i="3"/>
  <c r="U18" i="3"/>
  <c r="U19" i="3"/>
  <c r="U21" i="3"/>
  <c r="U22" i="3"/>
  <c r="U23" i="3"/>
  <c r="U24" i="3"/>
  <c r="U25" i="3"/>
  <c r="R6" i="3" l="1"/>
  <c r="R7" i="3"/>
  <c r="R8" i="3"/>
  <c r="R9" i="3"/>
  <c r="R10" i="3"/>
  <c r="R12" i="3"/>
  <c r="R13" i="3"/>
  <c r="R14" i="3"/>
  <c r="R15" i="3"/>
  <c r="R16" i="3"/>
  <c r="R17" i="3"/>
  <c r="R18" i="3"/>
  <c r="R19" i="3"/>
  <c r="R26" i="3"/>
  <c r="R21" i="3"/>
  <c r="R23" i="3"/>
  <c r="R24" i="3"/>
  <c r="R25" i="3"/>
  <c r="U4" i="3"/>
  <c r="R4" i="3" s="1"/>
  <c r="M26" i="3"/>
  <c r="L26" i="3"/>
  <c r="U26" i="3" l="1"/>
</calcChain>
</file>

<file path=xl/sharedStrings.xml><?xml version="1.0" encoding="utf-8"?>
<sst xmlns="http://schemas.openxmlformats.org/spreadsheetml/2006/main" count="535" uniqueCount="246">
  <si>
    <t>Total Licensed Beds</t>
  </si>
  <si>
    <t>Multi-Bedded PCH Rooms</t>
  </si>
  <si>
    <t># of 2 Bed Rooms</t>
  </si>
  <si>
    <t>Facility Address</t>
  </si>
  <si>
    <t>Respite PCH Beds</t>
  </si>
  <si>
    <t>Specialized Personal Care Environment Bed Types</t>
  </si>
  <si>
    <t>General PCH Beds</t>
  </si>
  <si>
    <t>Is the site juxtaposed to another facility?</t>
  </si>
  <si>
    <t>Name of the juxtaposed facility:
(Please answer only if the site is juxtaposed to another facility)</t>
  </si>
  <si>
    <t>Backup generator capacity in megawatts (MW) or kilowatts: (Optional)</t>
  </si>
  <si>
    <t>Does backup generator support the full site?</t>
  </si>
  <si>
    <t>Please provide additional backup generator information (ex. any location within the site not receivng power etc.).: (Optional)</t>
  </si>
  <si>
    <t>Does the site have alternate heating options? Is yes, please include method/technology/means. (Optional)</t>
  </si>
  <si>
    <t>Main phone line contact number:</t>
  </si>
  <si>
    <t>Does the site have backup for communication? ex: satellite phones, starlink, 2-way radios, VIOCI/Sysco phones, etc.</t>
  </si>
  <si>
    <t>Name and position of main contact: (ex. A leadership- or an executive-level contact information)</t>
  </si>
  <si>
    <t>Please provide any additional information that is crucial to the site. (Optional)</t>
  </si>
  <si>
    <t>Mailing Address</t>
  </si>
  <si>
    <t>Civic Address</t>
  </si>
  <si>
    <t xml:space="preserve"># of 3 or more Bed Rooms  </t>
  </si>
  <si>
    <t>Licence Status</t>
  </si>
  <si>
    <t>Operator</t>
  </si>
  <si>
    <t>Resident Bedroom Capacity by Bed Type</t>
  </si>
  <si>
    <t>Single Bed PCH Rooms</t>
  </si>
  <si>
    <t># of 1 Bed rooms</t>
  </si>
  <si>
    <t>How many floors does the facility have (excluding basements, if applicable)?</t>
  </si>
  <si>
    <t>Transitional Beds</t>
  </si>
  <si>
    <t>Designated Bilingual (Y/N)</t>
  </si>
  <si>
    <t>Francophone (Y/N)</t>
  </si>
  <si>
    <t>Veterans' Priority Beds</t>
  </si>
  <si>
    <t>Alternate Care Environment (ACE) Beds</t>
  </si>
  <si>
    <t>Behavioural Support &amp; Care Environment (BSCE) Beds</t>
  </si>
  <si>
    <t>Behavioural Treatment Unit (BTU) Beds</t>
  </si>
  <si>
    <t>Comments</t>
  </si>
  <si>
    <t>Does the site have backup generator power? 
(Y/N)</t>
  </si>
  <si>
    <t>In the event of a fire, does the site have an operational fire sprinkler system? 
(Y/N)</t>
  </si>
  <si>
    <t>Is the main phone line answered 24/7?
(Y/N)</t>
  </si>
  <si>
    <t>PCH  Name</t>
  </si>
  <si>
    <t>PCH Name</t>
  </si>
  <si>
    <t>Bethesda Place</t>
  </si>
  <si>
    <t>Douglas Campbell Lodge</t>
  </si>
  <si>
    <t>Eastview Place</t>
  </si>
  <si>
    <t>Emerson Health Centre</t>
  </si>
  <si>
    <t>Foyer Notre Dame</t>
  </si>
  <si>
    <t>Heritage Life
Personal Care Home</t>
  </si>
  <si>
    <t>Lions Prairie Manor</t>
  </si>
  <si>
    <t>MacGregor
Personal Care Home</t>
  </si>
  <si>
    <t>Menno Home for the Aged</t>
  </si>
  <si>
    <t>Pembina-Manitou Health Centre</t>
  </si>
  <si>
    <t>Prairie View Lodge</t>
  </si>
  <si>
    <t>Red River Valley Lodge</t>
  </si>
  <si>
    <t xml:space="preserve">Repos Jolys </t>
  </si>
  <si>
    <t>Rest Haven Personal Care Home</t>
  </si>
  <si>
    <t>Salem Home Inc.</t>
  </si>
  <si>
    <t>St. Claude Pavilion</t>
  </si>
  <si>
    <t>Tabor Home Inc.</t>
  </si>
  <si>
    <t>Third Crossing Manor</t>
  </si>
  <si>
    <t>Villa Youville</t>
  </si>
  <si>
    <t>Vita &amp; District Health Centre</t>
  </si>
  <si>
    <t>Boyne Lodge
Personal Care Home</t>
  </si>
  <si>
    <t>Rock Lake Health District
Personal Care Home</t>
  </si>
  <si>
    <t>399 Hospital Street
Steinbach MB  R5G 0E6</t>
  </si>
  <si>
    <t>Box 910
Carman MB  R0G 0J0</t>
  </si>
  <si>
    <t>150 - 9th Street South East
Portage la Prairie MB  R1N 3T6</t>
  </si>
  <si>
    <t>Box 660
Altona MB  R0G 0B0</t>
  </si>
  <si>
    <t>Box 428
Emerson MB  R0A 0L0</t>
  </si>
  <si>
    <t>Box 190
Notre Dame de Lourdes MB  R0G 1M0</t>
  </si>
  <si>
    <t>100A Heritage Trail
Niverville MB  R0A 0A1</t>
  </si>
  <si>
    <t>24 - 9th Street South East
Portage la Prairie MB  R1N 3V4</t>
  </si>
  <si>
    <t>Box 250
MacGregor MB  R0H 0R0</t>
  </si>
  <si>
    <t>Box 280
Grunthal MB  R0A 0R0</t>
  </si>
  <si>
    <t>Box 129
Manitou MB  R0G 1G0</t>
  </si>
  <si>
    <t>Box 507
Morris MB  R0G 1K0</t>
  </si>
  <si>
    <t>Box 320
St. Pierre Jolys MB  R0A 1V0</t>
  </si>
  <si>
    <t>185 Woodhaven Avenue
Steinbach MB  R5G 1K7</t>
  </si>
  <si>
    <t>Apt 27, 115 Brown Street South
Pilot Mound MB  R0G 1P0</t>
  </si>
  <si>
    <t xml:space="preserve">165 - 15th Street
Winkler MB  R6W 1T8 </t>
  </si>
  <si>
    <t>Box 400
St. Claude MB  R0G 1Z0</t>
  </si>
  <si>
    <t>450 Loren Street
Morden MB  R6M 0E2</t>
  </si>
  <si>
    <t xml:space="preserve">Box 1000
Gladstone MB  R0J 0T0 </t>
  </si>
  <si>
    <t>15 Chemin Charriére Road
Ste. Anne MB  R5H 1C9</t>
  </si>
  <si>
    <t>Box 160
Vita MB  R0A 2K0</t>
  </si>
  <si>
    <t>Apt. 26 - 424 Broadway Avenue West
Pilot Mound MB  R0G 1P0</t>
  </si>
  <si>
    <t>399 Hospital Street, Steinbach</t>
  </si>
  <si>
    <t>120 - 4th Ave. South West, Carman</t>
  </si>
  <si>
    <t>150 - 9th Street South East
Portage la Prairie</t>
  </si>
  <si>
    <t>240-5th Avenue North East, Altona</t>
  </si>
  <si>
    <t>26 Main Street, Emerson</t>
  </si>
  <si>
    <t>40 Rogers Street, Notre Dame de Lourdes</t>
  </si>
  <si>
    <t>100A Heritage Trail, Niverville</t>
  </si>
  <si>
    <t>24 - 9th Street South East
Portage la Prairie</t>
  </si>
  <si>
    <t>87 Grafton Street South, MacGregor</t>
  </si>
  <si>
    <t>235 Park Street, Grunthal</t>
  </si>
  <si>
    <t>232 Carrie Street, Manitou</t>
  </si>
  <si>
    <t>136 Ottawa Street West, Morris</t>
  </si>
  <si>
    <t>354 Prefontaine Avenue, St. Pierre Jolys</t>
  </si>
  <si>
    <t>185 Woodhaven Avenue, Steinbach</t>
  </si>
  <si>
    <t>Apt 27, 115 Brown Street South
Pilot Mound</t>
  </si>
  <si>
    <t>165 - 15th Street, Winkler</t>
  </si>
  <si>
    <t>33 Roy Street, St. Claude</t>
  </si>
  <si>
    <t>450 Loren Street, Morden</t>
  </si>
  <si>
    <t>175 Dennis Street West, Gladstone</t>
  </si>
  <si>
    <t>15 Chemin Charriére Road, Ste. Anne</t>
  </si>
  <si>
    <t>217 First Avenue West, Vita</t>
  </si>
  <si>
    <t>Apt. 26 - 424 Broadway Avenue West
Pilot Mound</t>
  </si>
  <si>
    <t>N</t>
  </si>
  <si>
    <t>Y</t>
  </si>
  <si>
    <t>Unencumbered Licence</t>
  </si>
  <si>
    <t>22 PCHs</t>
  </si>
  <si>
    <t>Southern Health-Santé Sud</t>
  </si>
  <si>
    <t>Niverville Heritage PCH Inc.</t>
  </si>
  <si>
    <t>Menno Home for the Aged, Grunthal, Man.</t>
  </si>
  <si>
    <t>Rest Haven Nursing Home of Steinbach Inc.</t>
  </si>
  <si>
    <t>Rock Lake Personal Care Home Inc.</t>
  </si>
  <si>
    <t>Villa Youville Incorporated</t>
  </si>
  <si>
    <t>J</t>
  </si>
  <si>
    <t>NJ</t>
  </si>
  <si>
    <r>
      <rPr>
        <sz val="11"/>
        <color theme="1"/>
        <rFont val="Arial"/>
        <family val="2"/>
      </rPr>
      <t xml:space="preserve">As of </t>
    </r>
    <r>
      <rPr>
        <b/>
        <sz val="11"/>
        <color theme="1"/>
        <rFont val="Arial"/>
        <family val="2"/>
      </rPr>
      <t xml:space="preserve">January 19, 2026, </t>
    </r>
    <r>
      <rPr>
        <sz val="11"/>
        <color theme="1"/>
        <rFont val="Arial"/>
        <family val="2"/>
      </rPr>
      <t>the total number of licensed be</t>
    </r>
    <r>
      <rPr>
        <b/>
        <sz val="11"/>
        <color theme="1"/>
        <rFont val="Arial"/>
        <family val="2"/>
      </rPr>
      <t xml:space="preserve">ds in SH-SS </t>
    </r>
    <r>
      <rPr>
        <sz val="11"/>
        <color theme="1"/>
        <rFont val="Arial"/>
        <family val="2"/>
      </rPr>
      <t>is</t>
    </r>
    <r>
      <rPr>
        <b/>
        <sz val="11"/>
        <color theme="1"/>
        <rFont val="Arial"/>
        <family val="2"/>
      </rPr>
      <t xml:space="preserve"> 1,347</t>
    </r>
  </si>
  <si>
    <t>12 (Floating beds)</t>
  </si>
  <si>
    <t>Rest Haven Care Home</t>
  </si>
  <si>
    <t>Faith-based (FB); Culture-based (CB)</t>
  </si>
  <si>
    <t>FB</t>
  </si>
  <si>
    <t>-</t>
  </si>
  <si>
    <t>For-Profit</t>
  </si>
  <si>
    <t>Not-For-Profit</t>
  </si>
  <si>
    <r>
      <t xml:space="preserve">For-Profit
</t>
    </r>
    <r>
      <rPr>
        <b/>
        <u/>
        <sz val="11"/>
        <color theme="1"/>
        <rFont val="Arial"/>
        <family val="2"/>
      </rPr>
      <t>(Y/N)</t>
    </r>
  </si>
  <si>
    <t>Regional Owned and Operated   (Y/N)</t>
  </si>
  <si>
    <t>Board Owned and Operated   (Y/N)</t>
  </si>
  <si>
    <t>11 J
11 NJ</t>
  </si>
  <si>
    <t>No</t>
  </si>
  <si>
    <t>204-425-3804</t>
  </si>
  <si>
    <t>plug in heaters on emergency plugs if absolutely required</t>
  </si>
  <si>
    <t xml:space="preserve">EMS garage in the Vita Health Centre, PCH emergency lighting and plugs, air circulation. </t>
  </si>
  <si>
    <t>3 phase 125 kilowatts</t>
  </si>
  <si>
    <t>Yes</t>
  </si>
  <si>
    <t>Vita and District Health Centre</t>
  </si>
  <si>
    <t>Yann Boissonneault, CEO</t>
  </si>
  <si>
    <t>204-422-5624</t>
  </si>
  <si>
    <t>Near PCH</t>
  </si>
  <si>
    <t>La Villa Youville Independent living appartement building for low income seniors.</t>
  </si>
  <si>
    <t>There is an automated phone system and the nursing station must be selected.  If no one is at the desk the call will go to voice mail - nurses check for messages</t>
  </si>
  <si>
    <t>204-385-2474</t>
  </si>
  <si>
    <t>The whole facility is powered by the generator.  The generator is located in its own shed next to the facility</t>
  </si>
  <si>
    <t>N/A</t>
  </si>
  <si>
    <t>Alex Renner, CEO.</t>
  </si>
  <si>
    <t>204-822-4848</t>
  </si>
  <si>
    <t>One Natural Gas Boiler</t>
  </si>
  <si>
    <t>Enclosed inside detached Generator building Provides emergency power to some lighting, some receptacles, one Natural Gas Boiler and one Circ pump Tested monthly Serviced annually including full 4hour load test at 100%..</t>
  </si>
  <si>
    <t>250 kW</t>
  </si>
  <si>
    <t>yes at TCU (ext 8)</t>
  </si>
  <si>
    <t>204-379-2585</t>
  </si>
  <si>
    <t>located north side of the facility. the whole building receives power.</t>
  </si>
  <si>
    <t>St. Claude Health Centre</t>
  </si>
  <si>
    <t>Karin Oliveira CEO</t>
  </si>
  <si>
    <t>204-325-4316</t>
  </si>
  <si>
    <t>hydraulic heat in 69 rooms</t>
  </si>
  <si>
    <t xml:space="preserve">located outside, on the northwest side of the building; lights, pumps for boilers, some HVAC units, electronic health record would be supported; </t>
  </si>
  <si>
    <t>150 kilowatts</t>
  </si>
  <si>
    <t>Alison Fijala, CEO Penny Follis Admin</t>
  </si>
  <si>
    <t>204-825-2246</t>
  </si>
  <si>
    <t xml:space="preserve">not applicable </t>
  </si>
  <si>
    <t xml:space="preserve">East side of facility.  All receives power </t>
  </si>
  <si>
    <t>400 KW</t>
  </si>
  <si>
    <t xml:space="preserve">Tannis Nickel, CEO </t>
  </si>
  <si>
    <t xml:space="preserve">yes, providing someone is near the phone. After hours you need to choose an extension. </t>
  </si>
  <si>
    <t>204 326-2206</t>
  </si>
  <si>
    <t xml:space="preserve">No. </t>
  </si>
  <si>
    <t xml:space="preserve">Location: outside of building. </t>
  </si>
  <si>
    <t>400 Kilowatts</t>
  </si>
  <si>
    <t>Woodhaven Manor � 86 suite independent, 55+ living facility</t>
  </si>
  <si>
    <t>yes</t>
  </si>
  <si>
    <t>204-433-7443</t>
  </si>
  <si>
    <t>plug in heaters</t>
  </si>
  <si>
    <t xml:space="preserve">It's located north side of building along garage. Provides power to hospital and PCH.  </t>
  </si>
  <si>
    <t>175 kw rating</t>
  </si>
  <si>
    <t>Acute care/ DeSalaberry District Health Centre</t>
  </si>
  <si>
    <t>204-746-2394</t>
  </si>
  <si>
    <t>204-825-2717</t>
  </si>
  <si>
    <t>not applicable</t>
  </si>
  <si>
    <t>Located on east side of Juxtaposed facility Rock lake District PCH.  all receives power</t>
  </si>
  <si>
    <t>Rock Lake Health  District Personal Care Home</t>
  </si>
  <si>
    <t>204 242 2744</t>
  </si>
  <si>
    <t>the ac does not run on the generator, everything else runs on generator</t>
  </si>
  <si>
    <t>300 kilowatts</t>
  </si>
  <si>
    <t>Dave Claringbould CEO</t>
  </si>
  <si>
    <t>Generally yes</t>
  </si>
  <si>
    <t>204 434-6496</t>
  </si>
  <si>
    <t xml:space="preserve">2 x main HVAC- Each elder suite has radiant heat. All heating systems electric </t>
  </si>
  <si>
    <t xml:space="preserve">Generator supplies whole facility but is no longer large enough and we have to shed some load until the electrical issues can be sorted here at Menno Home, even on main power the supply is too small. SHSS construction are involved </t>
  </si>
  <si>
    <t>300 KVA</t>
  </si>
  <si>
    <t>Julie Sigurdson - Manager</t>
  </si>
  <si>
    <t>204-685-2850</t>
  </si>
  <si>
    <t>MacGregor Health Centre � transitional care</t>
  </si>
  <si>
    <t>204-857-7864</t>
  </si>
  <si>
    <t>Not sure</t>
  </si>
  <si>
    <t>Yes.  other phone number is 204.388.5000</t>
  </si>
  <si>
    <t>204-388-2181</t>
  </si>
  <si>
    <t>204-248-2092</t>
  </si>
  <si>
    <t>Propane</t>
  </si>
  <si>
    <t xml:space="preserve">At Foyer - provides power to some lighting, some plugs, security, alarm system, boiler heating, </t>
  </si>
  <si>
    <t>44KW</t>
  </si>
  <si>
    <t>Notre Dame Hospital</t>
  </si>
  <si>
    <t>204-373-2109�</t>
  </si>
  <si>
    <t>Some small plug-in portable heaters that can be plugged into generator plug.</t>
  </si>
  <si>
    <t xml:space="preserve">the generator powers from the clinic to the nurse's station and the heaters in the PCH dining room. </t>
  </si>
  <si>
    <t>75KW</t>
  </si>
  <si>
    <t>Emerson Health Center</t>
  </si>
  <si>
    <t>204-324-8295</t>
  </si>
  <si>
    <t xml:space="preserve">generator does heat evergreen/blueridge except baseboard heaters and rosewood is heated with construction heaters that get hung up in the hallways when needed no heat in rooms </t>
  </si>
  <si>
    <t>located in the hospital inside the building. In the care home, every other light and the red plugs</t>
  </si>
  <si>
    <t>250kw</t>
  </si>
  <si>
    <t>Altona Community Memorial Health Center</t>
  </si>
  <si>
    <t>Melissa McArthur- Manager</t>
  </si>
  <si>
    <t>No, but has voicemail option for different departments.</t>
  </si>
  <si>
    <t>204-239-6006</t>
  </si>
  <si>
    <t>The main line is only answered during business hours, but Main Resident Care Office (ext. 47210) is answered by charge nurse after hours.</t>
  </si>
  <si>
    <t>204-745-6715</t>
  </si>
  <si>
    <t>Generator supports heat source.</t>
  </si>
  <si>
    <t xml:space="preserve">Now all power outlets receive power, however power is supplied to keep facility in operation.  </t>
  </si>
  <si>
    <t>Oversized for the site.</t>
  </si>
  <si>
    <t>Sheila Tagesen, Manager-Bethesda Place</t>
  </si>
  <si>
    <t xml:space="preserve">yes with a recording </t>
  </si>
  <si>
    <t>204-326-6411</t>
  </si>
  <si>
    <t>none</t>
  </si>
  <si>
    <t>AHU, AC, partial lighting, partial outlets</t>
  </si>
  <si>
    <t>not sure</t>
  </si>
  <si>
    <t>Bethesda Regional Health Centre</t>
  </si>
  <si>
    <t xml:space="preserve">Bethesda Place has had a Respite Bed for the past couple of years. </t>
  </si>
  <si>
    <t>26 new PCH beds added on January 19,2026 (24 General PCH bed + 2 Beriatric beds) which increased total licensed PCH beds to 105 (103 plus 2 respite beds)
They do not have ACE beds nor do they have shared rooms</t>
  </si>
  <si>
    <t xml:space="preserve">Shelly Mall, Manager </t>
  </si>
  <si>
    <t>Ronald Parent, Executive Director</t>
  </si>
  <si>
    <t>Helen Hoeppner - Manager</t>
  </si>
  <si>
    <t>Amy Funk - Manager 
204-324-2371</t>
  </si>
  <si>
    <t>Marcie Dupasquier - Manager</t>
  </si>
  <si>
    <t>Karen Reimer - Manager</t>
  </si>
  <si>
    <t>Jen Giesbrecht  - Manager</t>
  </si>
  <si>
    <t>Tanya McGregor  - Site Manager</t>
  </si>
  <si>
    <t>Elaine Hassan - Manager</t>
  </si>
  <si>
    <t>Danitra Lemky - Manager</t>
  </si>
  <si>
    <t xml:space="preserve">Laura Marchant - Manager </t>
  </si>
  <si>
    <t>Amelia MacDonald-Sommer, - Manager</t>
  </si>
  <si>
    <t>Getting a generator installed in 2026</t>
  </si>
  <si>
    <t>Had column L as 8 instead of 18</t>
  </si>
  <si>
    <t>Tabor only has single rooms</t>
  </si>
  <si>
    <t>Confirmed</t>
  </si>
  <si>
    <t>This document reflects the most recent updates as of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</si>
</sst>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4" x14ac:knownFonts="1">
    <font>
      <sz val="11"/>
      <color theme="1"/>
      <name val="Aptos Narrow"/>
      <family val="2"/>
      <scheme val="minor"/>
    </font>
    <font>
      <b/>
      <sz val="10"/>
      <color theme="1"/>
      <name val="Arial"/>
      <family val="2"/>
    </font>
    <font>
      <b/>
      <u/>
      <sz val="12"/>
      <color theme="1"/>
      <name val="Arial"/>
      <family val="2"/>
    </font>
    <font>
      <b/>
      <u/>
      <sz val="12"/>
      <color theme="0" tint="-4.9989318521683403E-2"/>
      <name val="Arial"/>
      <family val="2"/>
    </font>
    <font>
      <b/>
      <sz val="14"/>
      <color theme="1"/>
      <name val="Arial"/>
      <family val="2"/>
    </font>
    <font>
      <b/>
      <u/>
      <sz val="14"/>
      <color theme="1"/>
      <name val="Arial"/>
      <family val="2"/>
    </font>
    <font>
      <sz val="11"/>
      <color theme="1"/>
      <name val="Arial"/>
      <family val="2"/>
    </font>
    <font>
      <b/>
      <u/>
      <sz val="12"/>
      <color rgb="FF002060"/>
      <name val="Arial"/>
      <family val="2"/>
    </font>
    <font>
      <sz val="11"/>
      <color theme="1"/>
      <name val="Aptos Narrow"/>
      <family val="2"/>
      <scheme val="minor"/>
    </font>
    <font>
      <sz val="10"/>
      <color indexed="8"/>
      <name val="Arial"/>
      <family val="2"/>
    </font>
    <font>
      <sz val="11"/>
      <color rgb="FF000000"/>
      <name val="Arial"/>
      <family val="2"/>
    </font>
    <font>
      <sz val="11"/>
      <name val="Arial"/>
      <family val="2"/>
    </font>
    <font>
      <sz val="11"/>
      <color rgb="FFFF0000"/>
      <name val="Arial"/>
      <family val="2"/>
    </font>
    <font>
      <b/>
      <sz val="11"/>
      <color theme="1"/>
      <name val="Arial"/>
      <family val="2"/>
    </font>
    <font>
      <b/>
      <sz val="10"/>
      <color rgb="FFFF0000"/>
      <name val="Arial"/>
      <family val="2"/>
    </font>
    <font>
      <sz val="10"/>
      <color theme="1"/>
      <name val="Arial"/>
      <family val="2"/>
    </font>
    <font>
      <sz val="12"/>
      <color theme="1"/>
      <name val="Arial"/>
      <family val="2"/>
    </font>
    <font>
      <sz val="11"/>
      <color indexed="8"/>
      <name val="Arial"/>
      <family val="2"/>
    </font>
    <font>
      <b/>
      <u/>
      <sz val="11"/>
      <color theme="1"/>
      <name val="Arial"/>
      <family val="2"/>
    </font>
    <font>
      <sz val="12"/>
      <color theme="1"/>
      <name val="Aptos Narrow"/>
      <family val="2"/>
      <scheme val="minor"/>
    </font>
    <font>
      <sz val="10"/>
      <color theme="1" tint="4.9989318521683403E-2"/>
      <name val="Arial"/>
      <family val="2"/>
    </font>
    <font>
      <b/>
      <sz val="11"/>
      <color rgb="FFFF0000"/>
      <name val="Arial"/>
      <family val="2"/>
    </font>
    <font>
      <b/>
      <sz val="11"/>
      <name val="Arial"/>
      <family val="2"/>
    </font>
    <font>
      <b/>
      <sz val="14"/>
      <color theme="3"/>
      <name val="Arial"/>
      <family val="2"/>
    </font>
  </fonts>
  <fills count="21">
    <fill>
      <patternFill patternType="none"/>
    </fill>
    <fill>
      <patternFill patternType="gray125"/>
    </fill>
    <fill>
      <patternFill patternType="solid">
        <fgColor theme="2" tint="-0.249977111117893"/>
        <bgColor indexed="65"/>
      </patternFill>
    </fill>
    <fill>
      <patternFill patternType="solid">
        <fgColor theme="3" tint="0.89996032593768116"/>
        <bgColor indexed="65"/>
      </patternFill>
    </fill>
    <fill>
      <patternFill patternType="solid">
        <fgColor theme="0" tint="-0.249977111117893"/>
        <bgColor indexed="65"/>
      </patternFill>
    </fill>
    <fill>
      <patternFill patternType="solid">
        <fgColor rgb="FFBCD7F2"/>
      </patternFill>
    </fill>
    <fill>
      <patternFill patternType="solid">
        <fgColor rgb="FF85B6E7"/>
      </patternFill>
    </fill>
    <fill>
      <patternFill patternType="solid">
        <fgColor theme="3" tint="0.49995422223578601"/>
        <bgColor indexed="65"/>
      </patternFill>
    </fill>
    <fill>
      <patternFill patternType="solid">
        <fgColor theme="3" tint="0.249977111117893"/>
        <bgColor indexed="65"/>
      </patternFill>
    </fill>
    <fill>
      <patternFill patternType="solid">
        <fgColor theme="3" tint="9.9978637043366805E-2"/>
        <bgColor indexed="65"/>
      </patternFill>
    </fill>
    <fill>
      <patternFill patternType="solid">
        <fgColor theme="0" tint="-4.9989318521683403E-2"/>
        <bgColor indexed="65"/>
      </patternFill>
    </fill>
    <fill>
      <patternFill patternType="solid">
        <fgColor theme="0" tint="-0.14999847407452621"/>
        <bgColor indexed="65"/>
      </patternFill>
    </fill>
    <fill>
      <patternFill patternType="solid">
        <fgColor theme="2" tint="-9.9978637043366805E-2"/>
        <bgColor indexed="65"/>
      </patternFill>
    </fill>
    <fill>
      <patternFill patternType="solid">
        <fgColor theme="2" tint="-0.49995422223578601"/>
        <bgColor indexed="65"/>
      </patternFill>
    </fill>
    <fill>
      <patternFill patternType="solid">
        <fgColor rgb="FFB3FFEB"/>
      </patternFill>
    </fill>
    <fill>
      <patternFill patternType="solid">
        <fgColor theme="6" tint="0.79995117038483843"/>
        <bgColor indexed="65"/>
      </patternFill>
    </fill>
    <fill>
      <patternFill patternType="solid">
        <fgColor theme="3" tint="0.89999084444715716"/>
        <bgColor indexed="64"/>
      </patternFill>
    </fill>
    <fill>
      <patternFill patternType="solid">
        <fgColor theme="8" tint="0.79998168889431442"/>
        <bgColor indexed="64"/>
      </patternFill>
    </fill>
    <fill>
      <patternFill patternType="solid">
        <fgColor theme="0"/>
        <bgColor indexed="64"/>
      </patternFill>
    </fill>
    <fill>
      <patternFill patternType="solid">
        <fgColor rgb="FFD0D4E2"/>
        <bgColor indexed="64"/>
      </patternFill>
    </fill>
    <fill>
      <patternFill patternType="solid">
        <fgColor rgb="FFFFFF00"/>
        <bgColor indexed="64"/>
      </patternFill>
    </fill>
  </fills>
  <borders count="22">
    <border>
      <left/>
      <right/>
      <top/>
      <bottom/>
      <diagonal/>
    </border>
    <border>
      <left/>
      <right/>
      <top/>
      <bottom style="thin">
        <color indexed="64"/>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style="thin">
        <color theme="0" tint="-0.249977111117893"/>
      </right>
      <top style="thin">
        <color indexed="64"/>
      </top>
      <bottom/>
      <diagonal/>
    </border>
    <border>
      <left/>
      <right/>
      <top/>
      <bottom style="double">
        <color indexed="64"/>
      </bottom>
      <diagonal/>
    </border>
    <border>
      <left/>
      <right/>
      <top/>
      <bottom style="thin">
        <color indexed="8"/>
      </bottom>
      <diagonal/>
    </border>
    <border>
      <left/>
      <right/>
      <top style="thin">
        <color indexed="8"/>
      </top>
      <bottom style="thin">
        <color indexed="8"/>
      </bottom>
      <diagonal/>
    </border>
    <border>
      <left/>
      <right/>
      <top style="thin">
        <color indexed="8"/>
      </top>
      <bottom style="double">
        <color theme="1"/>
      </bottom>
      <diagonal/>
    </border>
    <border>
      <left/>
      <right/>
      <top/>
      <bottom style="double">
        <color theme="1"/>
      </bottom>
      <diagonal/>
    </border>
    <border>
      <left/>
      <right/>
      <top style="double">
        <color theme="1"/>
      </top>
      <bottom style="thin">
        <color theme="1"/>
      </bottom>
      <diagonal/>
    </border>
    <border>
      <left/>
      <right style="thin">
        <color theme="1"/>
      </right>
      <top style="double">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theme="1"/>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theme="0" tint="-0.249977111117893"/>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3">
    <xf numFmtId="0" fontId="0" fillId="0" borderId="0"/>
    <xf numFmtId="43" fontId="8" fillId="0" borderId="0" applyFont="0" applyFill="0" applyBorder="0" applyAlignment="0" applyProtection="0"/>
    <xf numFmtId="0" fontId="9" fillId="0" borderId="0"/>
  </cellStyleXfs>
  <cellXfs count="92">
    <xf numFmtId="0" fontId="0" fillId="0" borderId="0" xfId="0"/>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0" xfId="0" applyFont="1" applyFill="1" applyAlignment="1">
      <alignment horizontal="center" vertical="center" wrapText="1"/>
    </xf>
    <xf numFmtId="0" fontId="3" fillId="9" borderId="0" xfId="0" applyFont="1" applyFill="1" applyAlignment="1">
      <alignment horizontal="center"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2" fillId="12" borderId="3" xfId="0" applyFont="1" applyFill="1" applyBorder="1" applyAlignment="1">
      <alignment horizontal="center" vertical="center" wrapText="1"/>
    </xf>
    <xf numFmtId="0" fontId="2" fillId="4"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7" fillId="14" borderId="0" xfId="0" applyFont="1" applyFill="1" applyAlignment="1">
      <alignment horizontal="center" vertical="center" wrapText="1"/>
    </xf>
    <xf numFmtId="0" fontId="6"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0" fillId="0" borderId="0" xfId="0" applyFont="1" applyAlignment="1">
      <alignment horizontal="center" vertical="center"/>
    </xf>
    <xf numFmtId="0" fontId="6" fillId="0" borderId="5" xfId="0" applyFont="1" applyBorder="1" applyAlignment="1">
      <alignment horizontal="center" vertical="center"/>
    </xf>
    <xf numFmtId="0" fontId="1" fillId="2" borderId="0" xfId="0" applyFont="1" applyFill="1" applyAlignment="1">
      <alignment horizontal="center" vertical="center"/>
    </xf>
    <xf numFmtId="0" fontId="6" fillId="0" borderId="0" xfId="0" applyFont="1" applyAlignment="1">
      <alignment horizontal="center" vertical="center" wrapText="1"/>
    </xf>
    <xf numFmtId="0" fontId="6" fillId="0" borderId="2" xfId="0" applyFont="1" applyBorder="1" applyAlignment="1">
      <alignment horizontal="center" vertical="center"/>
    </xf>
    <xf numFmtId="0" fontId="6" fillId="0" borderId="5" xfId="0" applyFont="1" applyBorder="1" applyAlignment="1">
      <alignment horizontal="center" vertical="center" wrapText="1"/>
    </xf>
    <xf numFmtId="0" fontId="6" fillId="0" borderId="9" xfId="0" applyFont="1" applyBorder="1" applyAlignment="1">
      <alignment horizontal="center" vertical="center"/>
    </xf>
    <xf numFmtId="0" fontId="13" fillId="16" borderId="0" xfId="0" applyFont="1" applyFill="1" applyAlignment="1">
      <alignment horizontal="center" vertical="center"/>
    </xf>
    <xf numFmtId="0" fontId="0" fillId="16" borderId="10" xfId="0" applyFill="1" applyBorder="1"/>
    <xf numFmtId="0" fontId="0" fillId="16" borderId="11" xfId="0" applyFill="1" applyBorder="1"/>
    <xf numFmtId="0" fontId="15" fillId="16" borderId="14" xfId="0" applyFont="1" applyFill="1" applyBorder="1" applyAlignment="1">
      <alignment horizontal="center" vertical="center" wrapText="1"/>
    </xf>
    <xf numFmtId="0" fontId="13" fillId="16" borderId="0" xfId="0" applyFont="1" applyFill="1" applyAlignment="1">
      <alignment horizontal="center" vertical="center" wrapText="1"/>
    </xf>
    <xf numFmtId="0" fontId="13" fillId="0" borderId="0" xfId="0" applyFont="1" applyAlignment="1">
      <alignment horizontal="center" vertical="center"/>
    </xf>
    <xf numFmtId="0" fontId="6" fillId="18" borderId="14" xfId="0" applyFont="1" applyFill="1" applyBorder="1" applyAlignment="1">
      <alignment horizontal="center" vertical="center" wrapText="1"/>
    </xf>
    <xf numFmtId="0" fontId="12" fillId="18" borderId="12" xfId="0" applyFont="1" applyFill="1" applyBorder="1" applyAlignment="1">
      <alignment horizontal="center" vertical="center"/>
    </xf>
    <xf numFmtId="0" fontId="6" fillId="18" borderId="12" xfId="0" applyFont="1" applyFill="1" applyBorder="1" applyAlignment="1">
      <alignment horizontal="center" vertical="center"/>
    </xf>
    <xf numFmtId="0" fontId="6" fillId="18" borderId="12" xfId="0" applyFont="1" applyFill="1" applyBorder="1" applyAlignment="1">
      <alignment horizontal="center" vertical="center" wrapText="1"/>
    </xf>
    <xf numFmtId="0" fontId="16" fillId="0" borderId="0" xfId="0" applyFont="1" applyAlignment="1">
      <alignment horizontal="left" vertical="center"/>
    </xf>
    <xf numFmtId="0" fontId="16" fillId="0" borderId="0" xfId="0" applyFont="1" applyAlignment="1">
      <alignment horizontal="left" vertical="center" wrapText="1"/>
    </xf>
    <xf numFmtId="0" fontId="16" fillId="0" borderId="5" xfId="0" applyFont="1" applyBorder="1" applyAlignment="1">
      <alignment horizontal="left" vertical="center"/>
    </xf>
    <xf numFmtId="0" fontId="17" fillId="18" borderId="6" xfId="2" applyFont="1" applyFill="1" applyBorder="1" applyAlignment="1">
      <alignment horizontal="center" vertical="center" wrapText="1"/>
    </xf>
    <xf numFmtId="0" fontId="17" fillId="18" borderId="7" xfId="2" applyFont="1" applyFill="1" applyBorder="1" applyAlignment="1">
      <alignment horizontal="center" vertical="center" wrapText="1"/>
    </xf>
    <xf numFmtId="0" fontId="17" fillId="18" borderId="8" xfId="2" applyFont="1" applyFill="1" applyBorder="1" applyAlignment="1">
      <alignment horizontal="center" vertical="center" wrapText="1"/>
    </xf>
    <xf numFmtId="0" fontId="2" fillId="5" borderId="0" xfId="0" applyFont="1" applyFill="1" applyAlignment="1">
      <alignment horizontal="center" vertical="center" wrapText="1"/>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4" fillId="19" borderId="12"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13" fillId="0" borderId="5" xfId="0" applyFont="1" applyBorder="1" applyAlignment="1">
      <alignment horizontal="center" vertical="center"/>
    </xf>
    <xf numFmtId="0" fontId="4" fillId="16" borderId="14" xfId="0" applyFont="1" applyFill="1" applyBorder="1" applyAlignment="1">
      <alignment horizontal="center" vertical="center"/>
    </xf>
    <xf numFmtId="0" fontId="6" fillId="18" borderId="19" xfId="0" applyFont="1" applyFill="1" applyBorder="1" applyAlignment="1">
      <alignment horizontal="center" vertical="center"/>
    </xf>
    <xf numFmtId="0" fontId="0" fillId="0" borderId="0" xfId="0" applyAlignment="1">
      <alignment horizontal="center"/>
    </xf>
    <xf numFmtId="0" fontId="19" fillId="0" borderId="0" xfId="0" applyFont="1"/>
    <xf numFmtId="0" fontId="0" fillId="16" borderId="10" xfId="0" applyFill="1" applyBorder="1" applyAlignment="1">
      <alignment horizontal="center"/>
    </xf>
    <xf numFmtId="0" fontId="19" fillId="16" borderId="10" xfId="0" applyFont="1" applyFill="1" applyBorder="1"/>
    <xf numFmtId="0" fontId="14" fillId="18" borderId="13" xfId="0" applyFont="1" applyFill="1" applyBorder="1" applyAlignment="1">
      <alignment horizontal="center" vertical="center" wrapText="1"/>
    </xf>
    <xf numFmtId="0" fontId="19" fillId="0" borderId="9" xfId="0" applyFont="1" applyBorder="1"/>
    <xf numFmtId="0" fontId="15" fillId="18" borderId="12" xfId="0" applyFont="1" applyFill="1" applyBorder="1" applyAlignment="1">
      <alignment horizontal="center" vertical="center" wrapText="1"/>
    </xf>
    <xf numFmtId="0" fontId="14" fillId="18" borderId="12" xfId="0" applyFont="1" applyFill="1" applyBorder="1" applyAlignment="1">
      <alignment horizontal="center" vertical="center" wrapText="1"/>
    </xf>
    <xf numFmtId="0" fontId="19" fillId="0" borderId="0" xfId="0" applyFont="1" applyAlignment="1">
      <alignment wrapText="1"/>
    </xf>
    <xf numFmtId="0" fontId="20" fillId="18" borderId="12" xfId="0" applyFont="1" applyFill="1" applyBorder="1" applyAlignment="1">
      <alignment horizontal="center" vertical="center" wrapText="1"/>
    </xf>
    <xf numFmtId="0" fontId="14" fillId="18" borderId="20" xfId="0" applyFont="1" applyFill="1" applyBorder="1" applyAlignment="1">
      <alignment horizontal="center" vertical="center" wrapText="1"/>
    </xf>
    <xf numFmtId="0" fontId="2" fillId="0" borderId="21" xfId="0" applyFont="1" applyBorder="1" applyAlignment="1">
      <alignment horizontal="center" vertical="center" wrapText="1"/>
    </xf>
    <xf numFmtId="0" fontId="16" fillId="15" borderId="21" xfId="0" applyFont="1" applyFill="1" applyBorder="1" applyAlignment="1">
      <alignment horizontal="center" vertical="center" wrapText="1"/>
    </xf>
    <xf numFmtId="0" fontId="19" fillId="15" borderId="21" xfId="0" applyFont="1" applyFill="1" applyBorder="1" applyAlignment="1">
      <alignment vertical="center"/>
    </xf>
    <xf numFmtId="0" fontId="13" fillId="18" borderId="12" xfId="0" applyFont="1" applyFill="1" applyBorder="1" applyAlignment="1">
      <alignment horizontal="center" vertical="center"/>
    </xf>
    <xf numFmtId="0" fontId="6" fillId="0" borderId="0" xfId="0" applyFont="1" applyAlignment="1">
      <alignment vertical="center" wrapText="1"/>
    </xf>
    <xf numFmtId="0" fontId="6" fillId="0" borderId="9" xfId="0" applyFont="1" applyBorder="1" applyAlignment="1">
      <alignment vertical="center" wrapText="1"/>
    </xf>
    <xf numFmtId="0" fontId="12" fillId="18" borderId="14" xfId="0" applyFont="1" applyFill="1" applyBorder="1" applyAlignment="1">
      <alignment horizontal="center" vertical="center" wrapText="1"/>
    </xf>
    <xf numFmtId="0" fontId="6" fillId="0" borderId="0" xfId="0" applyFont="1" applyAlignment="1">
      <alignment horizontal="left" vertical="center" wrapText="1"/>
    </xf>
    <xf numFmtId="0" fontId="6" fillId="20" borderId="14" xfId="0" applyFont="1" applyFill="1" applyBorder="1" applyAlignment="1">
      <alignment horizontal="center" vertical="center" wrapText="1"/>
    </xf>
    <xf numFmtId="0" fontId="6" fillId="20" borderId="12" xfId="0" applyFont="1" applyFill="1" applyBorder="1" applyAlignment="1">
      <alignment horizontal="center" vertical="center"/>
    </xf>
    <xf numFmtId="0" fontId="11" fillId="18" borderId="12" xfId="0" applyFont="1" applyFill="1" applyBorder="1" applyAlignment="1">
      <alignment horizontal="center" vertical="center"/>
    </xf>
    <xf numFmtId="0" fontId="12" fillId="17" borderId="0" xfId="0" applyFont="1" applyFill="1" applyAlignment="1">
      <alignment horizontal="center" vertical="center"/>
    </xf>
    <xf numFmtId="0" fontId="21" fillId="18" borderId="12" xfId="0" applyFont="1" applyFill="1" applyBorder="1" applyAlignment="1">
      <alignment horizontal="center" vertical="center"/>
    </xf>
    <xf numFmtId="0" fontId="6" fillId="20" borderId="0" xfId="0" applyFont="1" applyFill="1" applyAlignment="1">
      <alignment horizontal="center" vertical="center"/>
    </xf>
    <xf numFmtId="0" fontId="11" fillId="0" borderId="5" xfId="0" applyFont="1" applyBorder="1" applyAlignment="1">
      <alignment horizontal="center" vertical="center"/>
    </xf>
    <xf numFmtId="0" fontId="12" fillId="0" borderId="0" xfId="0" applyFont="1" applyAlignment="1">
      <alignment vertical="center" wrapText="1"/>
    </xf>
    <xf numFmtId="0" fontId="21" fillId="0" borderId="0" xfId="0" applyFont="1" applyAlignment="1">
      <alignment vertical="center" wrapText="1"/>
    </xf>
    <xf numFmtId="0" fontId="22" fillId="18" borderId="12" xfId="0" applyFont="1" applyFill="1" applyBorder="1" applyAlignment="1">
      <alignment horizontal="center" vertical="center"/>
    </xf>
    <xf numFmtId="0" fontId="11" fillId="17" borderId="12" xfId="0" applyFont="1" applyFill="1" applyBorder="1" applyAlignment="1">
      <alignment horizontal="center" vertical="center"/>
    </xf>
    <xf numFmtId="0" fontId="4" fillId="2" borderId="0" xfId="0" applyFont="1" applyFill="1" applyAlignment="1">
      <alignment horizontal="center" vertical="center" wrapText="1"/>
    </xf>
    <xf numFmtId="0" fontId="6" fillId="0" borderId="0" xfId="0" applyFont="1" applyAlignment="1">
      <alignment horizontal="center" vertical="center"/>
    </xf>
    <xf numFmtId="0" fontId="5" fillId="3" borderId="15" xfId="0" applyFont="1" applyFill="1" applyBorder="1" applyAlignment="1">
      <alignment horizontal="center" vertical="center"/>
    </xf>
    <xf numFmtId="0" fontId="6" fillId="0" borderId="16" xfId="0" applyFont="1" applyBorder="1" applyAlignment="1">
      <alignment horizontal="center" vertical="center"/>
    </xf>
    <xf numFmtId="0" fontId="4" fillId="4" borderId="1" xfId="0" applyFont="1" applyFill="1" applyBorder="1" applyAlignment="1">
      <alignment horizontal="center" vertical="center"/>
    </xf>
    <xf numFmtId="0" fontId="6"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4" fillId="19" borderId="12" xfId="0" applyFont="1" applyFill="1" applyBorder="1" applyAlignment="1">
      <alignment horizontal="center" vertical="center"/>
    </xf>
    <xf numFmtId="0" fontId="4" fillId="0" borderId="0" xfId="0" applyFont="1" applyAlignment="1">
      <alignment horizontal="center" vertical="center" wrapText="1"/>
    </xf>
    <xf numFmtId="0" fontId="0" fillId="0" borderId="0" xfId="0"/>
    <xf numFmtId="0" fontId="23" fillId="0" borderId="0" xfId="0" applyFont="1" applyAlignment="1">
      <alignment horizontal="left" vertical="center"/>
    </xf>
  </cellXfs>
  <cellStyles count="3">
    <cellStyle name="Comma 2" xfId="1" xr:uid="{184EB965-ED8F-4436-BADB-D6DEDB5824F0}"/>
    <cellStyle name="Normal" xfId="0" builtinId="0"/>
    <cellStyle name="Normal_Sheet1" xfId="2" xr:uid="{1ED79DEF-54B7-4692-8E8F-09DCED621CC8}"/>
  </cellStyles>
  <dxfs count="0"/>
  <tableStyles count="0" defaultTableStyle="TableStyleMedium2" defaultPivotStyle="PivotStyleLight16"/>
  <colors>
    <mruColors>
      <color rgb="FFB3FFEB"/>
      <color rgb="FFBCD7F2"/>
      <color rgb="FFFEF5D2"/>
      <color rgb="FFFFB7B7"/>
      <color rgb="FF1B4D7F"/>
      <color rgb="FF2E82D6"/>
      <color rgb="FF85B6E7"/>
      <color rgb="FF5599DD"/>
      <color rgb="FF99C2EB"/>
      <color rgb="FF4992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F04B0-AB83-A742-961B-465049092045}">
  <dimension ref="A1:W29"/>
  <sheetViews>
    <sheetView tabSelected="1" topLeftCell="A18" zoomScale="80" zoomScaleNormal="80" workbookViewId="0">
      <pane xSplit="1" topLeftCell="B1" activePane="topRight" state="frozen"/>
      <selection activeCell="A10" sqref="A10"/>
      <selection pane="topRight" activeCell="A33" sqref="A33"/>
    </sheetView>
  </sheetViews>
  <sheetFormatPr defaultColWidth="8.54296875" defaultRowHeight="14" x14ac:dyDescent="0.35"/>
  <cols>
    <col min="1" max="1" width="40.1796875" style="16" customWidth="1"/>
    <col min="2" max="2" width="42.7265625" style="16" customWidth="1"/>
    <col min="3" max="3" width="36.54296875" style="16" customWidth="1"/>
    <col min="4" max="4" width="36.7265625" style="16" customWidth="1"/>
    <col min="5" max="5" width="47.7265625" style="16" customWidth="1"/>
    <col min="6" max="7" width="17.453125" style="16" customWidth="1"/>
    <col min="8" max="8" width="20.1796875" style="16" customWidth="1"/>
    <col min="9" max="9" width="22.453125" style="16" customWidth="1"/>
    <col min="10" max="10" width="21.7265625" style="16" customWidth="1"/>
    <col min="11" max="11" width="24.54296875" style="16" customWidth="1"/>
    <col min="12" max="12" width="22.54296875" style="16" customWidth="1"/>
    <col min="13" max="13" width="19.453125" style="16" customWidth="1"/>
    <col min="14" max="14" width="24.1796875" style="16" customWidth="1"/>
    <col min="15" max="15" width="23.54296875" style="16" customWidth="1"/>
    <col min="16" max="16" width="26.54296875" style="16" customWidth="1"/>
    <col min="17" max="17" width="35.453125" style="16" customWidth="1"/>
    <col min="18" max="18" width="20.453125" style="16" customWidth="1"/>
    <col min="19" max="19" width="16.453125" style="16" customWidth="1"/>
    <col min="20" max="20" width="20.453125" style="16" customWidth="1"/>
    <col min="21" max="21" width="24" style="16" customWidth="1"/>
    <col min="22" max="22" width="26.1796875" style="16" customWidth="1"/>
    <col min="23" max="23" width="41.1796875" style="16" customWidth="1"/>
    <col min="24" max="16384" width="8.54296875" style="16"/>
  </cols>
  <sheetData>
    <row r="1" spans="1:23" ht="50.5" customHeight="1" x14ac:dyDescent="0.35">
      <c r="R1" s="81" t="s">
        <v>22</v>
      </c>
      <c r="S1" s="82"/>
      <c r="T1" s="82"/>
    </row>
    <row r="2" spans="1:23" ht="36" x14ac:dyDescent="0.35">
      <c r="B2" s="83" t="s">
        <v>3</v>
      </c>
      <c r="C2" s="84"/>
      <c r="H2" s="45" t="s">
        <v>123</v>
      </c>
      <c r="I2" s="88" t="s">
        <v>124</v>
      </c>
      <c r="J2" s="88"/>
      <c r="O2" s="85" t="s">
        <v>5</v>
      </c>
      <c r="P2" s="86"/>
      <c r="Q2" s="86"/>
      <c r="R2" s="3" t="s">
        <v>23</v>
      </c>
      <c r="S2" s="87" t="s">
        <v>1</v>
      </c>
      <c r="T2" s="86"/>
      <c r="U2" s="2"/>
    </row>
    <row r="3" spans="1:23" s="1" customFormat="1" ht="46.5" x14ac:dyDescent="0.35">
      <c r="A3" s="4" t="s">
        <v>38</v>
      </c>
      <c r="B3" s="43" t="s">
        <v>17</v>
      </c>
      <c r="C3" s="44" t="s">
        <v>18</v>
      </c>
      <c r="D3" s="42" t="s">
        <v>20</v>
      </c>
      <c r="E3" s="5" t="s">
        <v>21</v>
      </c>
      <c r="F3" s="6" t="s">
        <v>27</v>
      </c>
      <c r="G3" s="6" t="s">
        <v>28</v>
      </c>
      <c r="H3" s="46" t="s">
        <v>125</v>
      </c>
      <c r="I3" s="47" t="s">
        <v>126</v>
      </c>
      <c r="J3" s="47" t="s">
        <v>127</v>
      </c>
      <c r="K3" s="7" t="s">
        <v>120</v>
      </c>
      <c r="L3" s="8" t="s">
        <v>6</v>
      </c>
      <c r="M3" s="9" t="s">
        <v>4</v>
      </c>
      <c r="N3" s="10" t="s">
        <v>29</v>
      </c>
      <c r="O3" s="11" t="s">
        <v>30</v>
      </c>
      <c r="P3" s="11" t="s">
        <v>31</v>
      </c>
      <c r="Q3" s="11" t="s">
        <v>32</v>
      </c>
      <c r="R3" s="12" t="s">
        <v>24</v>
      </c>
      <c r="S3" s="21" t="s">
        <v>2</v>
      </c>
      <c r="T3" s="13" t="s">
        <v>19</v>
      </c>
      <c r="U3" s="14" t="s">
        <v>0</v>
      </c>
      <c r="V3" s="15" t="s">
        <v>26</v>
      </c>
      <c r="W3" s="1" t="s">
        <v>33</v>
      </c>
    </row>
    <row r="4" spans="1:23" ht="28" x14ac:dyDescent="0.35">
      <c r="A4" s="36" t="s">
        <v>39</v>
      </c>
      <c r="B4" s="22" t="s">
        <v>61</v>
      </c>
      <c r="C4" s="16" t="s">
        <v>83</v>
      </c>
      <c r="D4" s="16" t="s">
        <v>107</v>
      </c>
      <c r="E4" s="39" t="s">
        <v>109</v>
      </c>
      <c r="F4" s="16" t="s">
        <v>105</v>
      </c>
      <c r="G4" s="16" t="s">
        <v>105</v>
      </c>
      <c r="H4" s="16" t="s">
        <v>105</v>
      </c>
      <c r="I4" s="31" t="s">
        <v>106</v>
      </c>
      <c r="J4" s="16" t="s">
        <v>105</v>
      </c>
      <c r="K4" s="16" t="s">
        <v>122</v>
      </c>
      <c r="L4" s="18">
        <v>59</v>
      </c>
      <c r="M4" s="68">
        <v>1</v>
      </c>
      <c r="O4" s="70">
        <v>0</v>
      </c>
      <c r="P4" s="32">
        <v>0</v>
      </c>
      <c r="Q4" s="32">
        <v>0</v>
      </c>
      <c r="R4" s="16">
        <f>ABS(U4-(S4*2+T4*3))</f>
        <v>60</v>
      </c>
      <c r="S4" s="16">
        <v>0</v>
      </c>
      <c r="T4" s="16">
        <v>0</v>
      </c>
      <c r="U4" s="16">
        <f>SUM(L4:Q4)</f>
        <v>60</v>
      </c>
      <c r="W4" s="22" t="s">
        <v>227</v>
      </c>
    </row>
    <row r="5" spans="1:23" ht="84" x14ac:dyDescent="0.35">
      <c r="A5" s="37" t="s">
        <v>59</v>
      </c>
      <c r="B5" s="22" t="s">
        <v>62</v>
      </c>
      <c r="C5" s="16" t="s">
        <v>84</v>
      </c>
      <c r="D5" s="16" t="s">
        <v>107</v>
      </c>
      <c r="E5" s="40" t="s">
        <v>109</v>
      </c>
      <c r="F5" s="16" t="s">
        <v>105</v>
      </c>
      <c r="G5" s="16" t="s">
        <v>105</v>
      </c>
      <c r="H5" s="16" t="s">
        <v>105</v>
      </c>
      <c r="I5" s="31" t="s">
        <v>106</v>
      </c>
      <c r="J5" s="16" t="s">
        <v>105</v>
      </c>
      <c r="K5" s="16" t="s">
        <v>122</v>
      </c>
      <c r="L5" s="18">
        <v>103</v>
      </c>
      <c r="M5" s="33">
        <v>2</v>
      </c>
      <c r="O5" s="74">
        <v>0</v>
      </c>
      <c r="P5" s="34">
        <v>0</v>
      </c>
      <c r="Q5" s="34">
        <v>0</v>
      </c>
      <c r="R5" s="18">
        <v>105</v>
      </c>
      <c r="S5" s="18">
        <v>0</v>
      </c>
      <c r="T5" s="16">
        <v>0</v>
      </c>
      <c r="U5" s="18">
        <f>SUM(L5:M5)</f>
        <v>105</v>
      </c>
      <c r="W5" s="69" t="s">
        <v>228</v>
      </c>
    </row>
    <row r="6" spans="1:23" ht="28" x14ac:dyDescent="0.35">
      <c r="A6" s="36" t="s">
        <v>40</v>
      </c>
      <c r="B6" s="22" t="s">
        <v>63</v>
      </c>
      <c r="C6" s="22" t="s">
        <v>85</v>
      </c>
      <c r="D6" s="16" t="s">
        <v>107</v>
      </c>
      <c r="E6" s="40" t="s">
        <v>109</v>
      </c>
      <c r="F6" s="16" t="s">
        <v>105</v>
      </c>
      <c r="G6" s="16" t="s">
        <v>105</v>
      </c>
      <c r="H6" s="16" t="s">
        <v>105</v>
      </c>
      <c r="I6" s="31" t="s">
        <v>106</v>
      </c>
      <c r="J6" s="16" t="s">
        <v>105</v>
      </c>
      <c r="K6" s="16" t="s">
        <v>122</v>
      </c>
      <c r="L6" s="19">
        <v>48</v>
      </c>
      <c r="M6" s="34">
        <v>0</v>
      </c>
      <c r="O6" s="65">
        <v>12</v>
      </c>
      <c r="P6" s="34">
        <v>0</v>
      </c>
      <c r="Q6" s="34">
        <v>0</v>
      </c>
      <c r="R6" s="16">
        <f t="shared" ref="R6:R25" si="0">ABS(U6-(S6*2+T6*3))</f>
        <v>60</v>
      </c>
      <c r="S6" s="16">
        <v>0</v>
      </c>
      <c r="T6" s="16">
        <v>0</v>
      </c>
      <c r="U6" s="16">
        <f>SUM(L6:M6)+12</f>
        <v>60</v>
      </c>
      <c r="W6" s="16" t="s">
        <v>244</v>
      </c>
    </row>
    <row r="7" spans="1:23" ht="28" x14ac:dyDescent="0.35">
      <c r="A7" s="36" t="s">
        <v>41</v>
      </c>
      <c r="B7" s="22" t="s">
        <v>64</v>
      </c>
      <c r="C7" s="16" t="s">
        <v>86</v>
      </c>
      <c r="D7" s="16" t="s">
        <v>107</v>
      </c>
      <c r="E7" s="39" t="s">
        <v>109</v>
      </c>
      <c r="F7" s="16" t="s">
        <v>105</v>
      </c>
      <c r="G7" s="16" t="s">
        <v>105</v>
      </c>
      <c r="H7" s="16" t="s">
        <v>105</v>
      </c>
      <c r="I7" s="31" t="s">
        <v>106</v>
      </c>
      <c r="J7" s="16" t="s">
        <v>105</v>
      </c>
      <c r="K7" s="16" t="s">
        <v>122</v>
      </c>
      <c r="L7" s="19">
        <v>53</v>
      </c>
      <c r="M7" s="34">
        <v>0</v>
      </c>
      <c r="O7" s="65">
        <v>12</v>
      </c>
      <c r="P7" s="34">
        <v>0</v>
      </c>
      <c r="Q7" s="34">
        <v>0</v>
      </c>
      <c r="R7" s="16">
        <f t="shared" si="0"/>
        <v>65</v>
      </c>
      <c r="S7" s="16">
        <v>0</v>
      </c>
      <c r="T7" s="16">
        <v>0</v>
      </c>
      <c r="U7" s="16">
        <f>SUM(L7:M7) +12</f>
        <v>65</v>
      </c>
      <c r="W7" s="16" t="s">
        <v>244</v>
      </c>
    </row>
    <row r="8" spans="1:23" ht="28" x14ac:dyDescent="0.35">
      <c r="A8" s="36" t="s">
        <v>42</v>
      </c>
      <c r="B8" s="22" t="s">
        <v>65</v>
      </c>
      <c r="C8" s="16" t="s">
        <v>87</v>
      </c>
      <c r="D8" s="16" t="s">
        <v>107</v>
      </c>
      <c r="E8" s="40" t="s">
        <v>109</v>
      </c>
      <c r="F8" s="16" t="s">
        <v>105</v>
      </c>
      <c r="G8" s="16" t="s">
        <v>105</v>
      </c>
      <c r="H8" s="16" t="s">
        <v>105</v>
      </c>
      <c r="I8" s="31" t="s">
        <v>106</v>
      </c>
      <c r="J8" s="16" t="s">
        <v>105</v>
      </c>
      <c r="K8" s="16" t="s">
        <v>122</v>
      </c>
      <c r="L8" s="19">
        <v>20</v>
      </c>
      <c r="M8" s="34">
        <v>0</v>
      </c>
      <c r="O8" s="34">
        <v>0</v>
      </c>
      <c r="P8" s="34">
        <v>0</v>
      </c>
      <c r="Q8" s="34">
        <v>0</v>
      </c>
      <c r="R8" s="16">
        <f t="shared" si="0"/>
        <v>20</v>
      </c>
      <c r="S8" s="16">
        <v>0</v>
      </c>
      <c r="T8" s="16">
        <v>0</v>
      </c>
      <c r="U8" s="16">
        <f t="shared" ref="U8:U25" si="1">SUM(L8:M8)</f>
        <v>20</v>
      </c>
      <c r="W8" s="16" t="s">
        <v>244</v>
      </c>
    </row>
    <row r="9" spans="1:23" ht="28" x14ac:dyDescent="0.35">
      <c r="A9" s="36" t="s">
        <v>43</v>
      </c>
      <c r="B9" s="22" t="s">
        <v>66</v>
      </c>
      <c r="C9" s="16" t="s">
        <v>88</v>
      </c>
      <c r="D9" s="16" t="s">
        <v>107</v>
      </c>
      <c r="E9" s="40" t="s">
        <v>109</v>
      </c>
      <c r="F9" s="31" t="s">
        <v>106</v>
      </c>
      <c r="G9" s="16" t="s">
        <v>105</v>
      </c>
      <c r="H9" s="16" t="s">
        <v>105</v>
      </c>
      <c r="I9" s="31" t="s">
        <v>106</v>
      </c>
      <c r="J9" s="16" t="s">
        <v>105</v>
      </c>
      <c r="K9" s="16" t="s">
        <v>121</v>
      </c>
      <c r="L9" s="19">
        <v>48</v>
      </c>
      <c r="M9" s="34">
        <v>0</v>
      </c>
      <c r="O9" s="65">
        <v>12</v>
      </c>
      <c r="P9" s="34">
        <v>0</v>
      </c>
      <c r="Q9" s="34">
        <v>0</v>
      </c>
      <c r="R9" s="16">
        <f t="shared" si="0"/>
        <v>60</v>
      </c>
      <c r="S9" s="16">
        <v>0</v>
      </c>
      <c r="T9" s="16">
        <v>0</v>
      </c>
      <c r="U9" s="16">
        <f>SUM(L9:M9)+ 12</f>
        <v>60</v>
      </c>
      <c r="W9" s="16" t="s">
        <v>244</v>
      </c>
    </row>
    <row r="10" spans="1:23" ht="31" x14ac:dyDescent="0.35">
      <c r="A10" s="37" t="s">
        <v>44</v>
      </c>
      <c r="B10" s="22" t="s">
        <v>67</v>
      </c>
      <c r="C10" s="16" t="s">
        <v>89</v>
      </c>
      <c r="D10" s="16" t="s">
        <v>107</v>
      </c>
      <c r="E10" s="40" t="s">
        <v>110</v>
      </c>
      <c r="F10" s="16" t="s">
        <v>105</v>
      </c>
      <c r="G10" s="16" t="s">
        <v>105</v>
      </c>
      <c r="H10" s="75" t="s">
        <v>105</v>
      </c>
      <c r="I10" s="16" t="s">
        <v>105</v>
      </c>
      <c r="J10" s="31" t="s">
        <v>106</v>
      </c>
      <c r="K10" s="16" t="s">
        <v>122</v>
      </c>
      <c r="L10" s="19">
        <v>60</v>
      </c>
      <c r="M10" s="34">
        <v>0</v>
      </c>
      <c r="O10" s="34">
        <v>0</v>
      </c>
      <c r="P10" s="34">
        <v>20</v>
      </c>
      <c r="Q10" s="34">
        <v>0</v>
      </c>
      <c r="R10" s="16">
        <f t="shared" si="0"/>
        <v>80</v>
      </c>
      <c r="S10" s="16">
        <v>0</v>
      </c>
      <c r="T10" s="16">
        <v>0</v>
      </c>
      <c r="U10" s="16">
        <f>SUM(L10:M10) +20</f>
        <v>80</v>
      </c>
      <c r="W10" s="16" t="s">
        <v>244</v>
      </c>
    </row>
    <row r="11" spans="1:23" ht="28" x14ac:dyDescent="0.35">
      <c r="A11" s="36" t="s">
        <v>45</v>
      </c>
      <c r="B11" s="22" t="s">
        <v>68</v>
      </c>
      <c r="C11" s="22" t="s">
        <v>90</v>
      </c>
      <c r="D11" s="16" t="s">
        <v>107</v>
      </c>
      <c r="E11" s="40" t="s">
        <v>109</v>
      </c>
      <c r="F11" s="16" t="s">
        <v>105</v>
      </c>
      <c r="G11" s="16" t="s">
        <v>105</v>
      </c>
      <c r="H11" s="16" t="s">
        <v>105</v>
      </c>
      <c r="I11" s="31" t="s">
        <v>106</v>
      </c>
      <c r="J11" s="16" t="s">
        <v>105</v>
      </c>
      <c r="K11" s="16" t="s">
        <v>122</v>
      </c>
      <c r="L11" s="19">
        <v>134</v>
      </c>
      <c r="M11" s="72">
        <v>2</v>
      </c>
      <c r="O11" s="71">
        <v>0</v>
      </c>
      <c r="P11" s="34">
        <v>0</v>
      </c>
      <c r="Q11" s="34">
        <v>0</v>
      </c>
      <c r="R11" s="16">
        <v>130</v>
      </c>
      <c r="S11" s="16">
        <v>3</v>
      </c>
      <c r="T11" s="16">
        <v>0</v>
      </c>
      <c r="U11" s="16">
        <f t="shared" si="1"/>
        <v>136</v>
      </c>
      <c r="W11" s="16" t="s">
        <v>244</v>
      </c>
    </row>
    <row r="12" spans="1:23" ht="31" x14ac:dyDescent="0.35">
      <c r="A12" s="37" t="s">
        <v>46</v>
      </c>
      <c r="B12" s="22" t="s">
        <v>69</v>
      </c>
      <c r="C12" s="16" t="s">
        <v>91</v>
      </c>
      <c r="D12" s="16" t="s">
        <v>107</v>
      </c>
      <c r="E12" s="40" t="s">
        <v>109</v>
      </c>
      <c r="F12" s="16" t="s">
        <v>105</v>
      </c>
      <c r="G12" s="16" t="s">
        <v>105</v>
      </c>
      <c r="H12" s="16" t="s">
        <v>105</v>
      </c>
      <c r="I12" s="31" t="s">
        <v>106</v>
      </c>
      <c r="J12" s="16" t="s">
        <v>105</v>
      </c>
      <c r="K12" s="16" t="s">
        <v>122</v>
      </c>
      <c r="L12" s="19">
        <v>20</v>
      </c>
      <c r="M12" s="34">
        <v>0</v>
      </c>
      <c r="O12" s="34">
        <v>0</v>
      </c>
      <c r="P12" s="34">
        <v>0</v>
      </c>
      <c r="Q12" s="34">
        <v>0</v>
      </c>
      <c r="R12" s="16">
        <f t="shared" si="0"/>
        <v>20</v>
      </c>
      <c r="S12" s="16">
        <v>0</v>
      </c>
      <c r="T12" s="16">
        <v>0</v>
      </c>
      <c r="U12" s="16">
        <f t="shared" si="1"/>
        <v>20</v>
      </c>
      <c r="W12" s="16" t="s">
        <v>244</v>
      </c>
    </row>
    <row r="13" spans="1:23" ht="28" x14ac:dyDescent="0.35">
      <c r="A13" s="36" t="s">
        <v>47</v>
      </c>
      <c r="B13" s="22" t="s">
        <v>70</v>
      </c>
      <c r="C13" s="16" t="s">
        <v>92</v>
      </c>
      <c r="D13" s="16" t="s">
        <v>107</v>
      </c>
      <c r="E13" s="40" t="s">
        <v>111</v>
      </c>
      <c r="F13" s="16" t="s">
        <v>105</v>
      </c>
      <c r="G13" s="16" t="s">
        <v>105</v>
      </c>
      <c r="H13" s="16" t="s">
        <v>105</v>
      </c>
      <c r="I13" s="16" t="s">
        <v>105</v>
      </c>
      <c r="J13" s="31" t="s">
        <v>106</v>
      </c>
      <c r="K13" s="16" t="s">
        <v>121</v>
      </c>
      <c r="L13" s="19">
        <v>40</v>
      </c>
      <c r="M13" s="34">
        <v>0</v>
      </c>
      <c r="O13" s="34">
        <v>0</v>
      </c>
      <c r="P13" s="34">
        <v>0</v>
      </c>
      <c r="Q13" s="34">
        <v>0</v>
      </c>
      <c r="R13" s="16">
        <f t="shared" si="0"/>
        <v>40</v>
      </c>
      <c r="S13" s="16">
        <v>0</v>
      </c>
      <c r="T13" s="16">
        <v>0</v>
      </c>
      <c r="U13" s="16">
        <f t="shared" si="1"/>
        <v>40</v>
      </c>
      <c r="W13" s="16" t="s">
        <v>244</v>
      </c>
    </row>
    <row r="14" spans="1:23" ht="28" x14ac:dyDescent="0.35">
      <c r="A14" s="36" t="s">
        <v>48</v>
      </c>
      <c r="B14" s="22" t="s">
        <v>71</v>
      </c>
      <c r="C14" s="16" t="s">
        <v>93</v>
      </c>
      <c r="D14" s="16" t="s">
        <v>107</v>
      </c>
      <c r="E14" s="40" t="s">
        <v>109</v>
      </c>
      <c r="F14" s="16" t="s">
        <v>105</v>
      </c>
      <c r="G14" s="16" t="s">
        <v>105</v>
      </c>
      <c r="H14" s="16" t="s">
        <v>105</v>
      </c>
      <c r="I14" s="31" t="s">
        <v>106</v>
      </c>
      <c r="J14" s="16" t="s">
        <v>105</v>
      </c>
      <c r="K14" s="16" t="s">
        <v>122</v>
      </c>
      <c r="L14" s="19">
        <v>18</v>
      </c>
      <c r="M14" s="34">
        <v>0</v>
      </c>
      <c r="N14" s="23"/>
      <c r="O14" s="34">
        <v>0</v>
      </c>
      <c r="P14" s="34">
        <v>0</v>
      </c>
      <c r="Q14" s="34">
        <v>0</v>
      </c>
      <c r="R14" s="16">
        <f t="shared" si="0"/>
        <v>18</v>
      </c>
      <c r="S14" s="16">
        <v>0</v>
      </c>
      <c r="T14" s="16">
        <v>0</v>
      </c>
      <c r="U14" s="16">
        <f t="shared" si="1"/>
        <v>18</v>
      </c>
      <c r="W14" s="16" t="s">
        <v>244</v>
      </c>
    </row>
    <row r="15" spans="1:23" ht="28" x14ac:dyDescent="0.35">
      <c r="A15" s="36" t="s">
        <v>49</v>
      </c>
      <c r="B15" s="22" t="s">
        <v>82</v>
      </c>
      <c r="C15" s="22" t="s">
        <v>104</v>
      </c>
      <c r="D15" s="16" t="s">
        <v>107</v>
      </c>
      <c r="E15" s="40" t="s">
        <v>49</v>
      </c>
      <c r="F15" s="16" t="s">
        <v>105</v>
      </c>
      <c r="G15" s="16" t="s">
        <v>105</v>
      </c>
      <c r="H15" s="16" t="s">
        <v>105</v>
      </c>
      <c r="I15" s="31" t="s">
        <v>106</v>
      </c>
      <c r="J15" s="16" t="s">
        <v>105</v>
      </c>
      <c r="K15" s="16" t="s">
        <v>122</v>
      </c>
      <c r="L15" s="19">
        <v>18</v>
      </c>
      <c r="M15" s="34">
        <v>0</v>
      </c>
      <c r="O15" s="65">
        <v>12</v>
      </c>
      <c r="P15" s="34">
        <v>0</v>
      </c>
      <c r="Q15" s="34">
        <v>0</v>
      </c>
      <c r="R15" s="16">
        <f t="shared" si="0"/>
        <v>30</v>
      </c>
      <c r="S15" s="16">
        <v>0</v>
      </c>
      <c r="T15" s="16">
        <v>0</v>
      </c>
      <c r="U15" s="16">
        <f>SUM(L15:M15)+12</f>
        <v>30</v>
      </c>
      <c r="W15" s="16" t="s">
        <v>244</v>
      </c>
    </row>
    <row r="16" spans="1:23" ht="28" x14ac:dyDescent="0.35">
      <c r="A16" s="36" t="s">
        <v>50</v>
      </c>
      <c r="B16" s="22" t="s">
        <v>72</v>
      </c>
      <c r="C16" s="16" t="s">
        <v>94</v>
      </c>
      <c r="D16" s="16" t="s">
        <v>107</v>
      </c>
      <c r="E16" s="40" t="s">
        <v>109</v>
      </c>
      <c r="F16" s="16" t="s">
        <v>105</v>
      </c>
      <c r="G16" s="16" t="s">
        <v>105</v>
      </c>
      <c r="H16" s="16" t="s">
        <v>105</v>
      </c>
      <c r="I16" s="31" t="s">
        <v>106</v>
      </c>
      <c r="J16" s="16" t="s">
        <v>105</v>
      </c>
      <c r="K16" s="16" t="s">
        <v>122</v>
      </c>
      <c r="L16" s="19">
        <v>40</v>
      </c>
      <c r="M16" s="34">
        <v>0</v>
      </c>
      <c r="O16" s="34">
        <v>0</v>
      </c>
      <c r="P16" s="34">
        <v>0</v>
      </c>
      <c r="Q16" s="34">
        <v>0</v>
      </c>
      <c r="R16" s="16">
        <f t="shared" si="0"/>
        <v>40</v>
      </c>
      <c r="S16" s="16">
        <v>0</v>
      </c>
      <c r="T16" s="16">
        <v>0</v>
      </c>
      <c r="U16" s="16">
        <f t="shared" si="1"/>
        <v>40</v>
      </c>
      <c r="W16" s="16" t="s">
        <v>244</v>
      </c>
    </row>
    <row r="17" spans="1:23" ht="28" x14ac:dyDescent="0.35">
      <c r="A17" s="36" t="s">
        <v>51</v>
      </c>
      <c r="B17" s="22" t="s">
        <v>73</v>
      </c>
      <c r="C17" s="16" t="s">
        <v>95</v>
      </c>
      <c r="D17" s="16" t="s">
        <v>107</v>
      </c>
      <c r="E17" s="40" t="s">
        <v>109</v>
      </c>
      <c r="F17" s="31" t="s">
        <v>106</v>
      </c>
      <c r="G17" s="16" t="s">
        <v>105</v>
      </c>
      <c r="H17" s="16" t="s">
        <v>105</v>
      </c>
      <c r="I17" s="31" t="s">
        <v>106</v>
      </c>
      <c r="J17" s="16" t="s">
        <v>105</v>
      </c>
      <c r="K17" s="16" t="s">
        <v>122</v>
      </c>
      <c r="L17" s="19">
        <v>22</v>
      </c>
      <c r="M17" s="34">
        <v>0</v>
      </c>
      <c r="O17" s="34">
        <v>0</v>
      </c>
      <c r="P17" s="34">
        <v>0</v>
      </c>
      <c r="Q17" s="34">
        <v>0</v>
      </c>
      <c r="R17" s="16">
        <f t="shared" si="0"/>
        <v>22</v>
      </c>
      <c r="S17" s="16">
        <v>0</v>
      </c>
      <c r="T17" s="16">
        <v>0</v>
      </c>
      <c r="U17" s="16">
        <f t="shared" si="1"/>
        <v>22</v>
      </c>
      <c r="W17" s="16" t="s">
        <v>244</v>
      </c>
    </row>
    <row r="18" spans="1:23" ht="28" x14ac:dyDescent="0.35">
      <c r="A18" s="36" t="s">
        <v>119</v>
      </c>
      <c r="B18" s="22" t="s">
        <v>74</v>
      </c>
      <c r="C18" s="16" t="s">
        <v>96</v>
      </c>
      <c r="D18" s="16" t="s">
        <v>107</v>
      </c>
      <c r="E18" s="40" t="s">
        <v>112</v>
      </c>
      <c r="F18" s="16" t="s">
        <v>105</v>
      </c>
      <c r="G18" s="16" t="s">
        <v>105</v>
      </c>
      <c r="H18" s="16" t="s">
        <v>105</v>
      </c>
      <c r="I18" s="16" t="s">
        <v>105</v>
      </c>
      <c r="J18" s="31" t="s">
        <v>106</v>
      </c>
      <c r="K18" s="16" t="s">
        <v>121</v>
      </c>
      <c r="L18" s="17">
        <v>143</v>
      </c>
      <c r="M18" s="34">
        <v>0</v>
      </c>
      <c r="O18" s="34">
        <v>0</v>
      </c>
      <c r="P18" s="34">
        <v>0</v>
      </c>
      <c r="Q18" s="34">
        <v>0</v>
      </c>
      <c r="R18" s="16">
        <f t="shared" si="0"/>
        <v>143</v>
      </c>
      <c r="S18" s="16">
        <v>0</v>
      </c>
      <c r="T18" s="16">
        <v>0</v>
      </c>
      <c r="U18" s="16">
        <f t="shared" si="1"/>
        <v>143</v>
      </c>
      <c r="W18" s="16" t="s">
        <v>244</v>
      </c>
    </row>
    <row r="19" spans="1:23" ht="31" x14ac:dyDescent="0.35">
      <c r="A19" s="37" t="s">
        <v>60</v>
      </c>
      <c r="B19" s="22" t="s">
        <v>75</v>
      </c>
      <c r="C19" s="22" t="s">
        <v>97</v>
      </c>
      <c r="D19" s="16" t="s">
        <v>107</v>
      </c>
      <c r="E19" s="40" t="s">
        <v>113</v>
      </c>
      <c r="F19" s="16" t="s">
        <v>105</v>
      </c>
      <c r="G19" s="16" t="s">
        <v>105</v>
      </c>
      <c r="H19" s="16" t="s">
        <v>105</v>
      </c>
      <c r="I19" s="16" t="s">
        <v>105</v>
      </c>
      <c r="J19" s="31" t="s">
        <v>106</v>
      </c>
      <c r="K19" s="16" t="s">
        <v>122</v>
      </c>
      <c r="L19" s="19">
        <v>24</v>
      </c>
      <c r="M19" s="34">
        <v>0</v>
      </c>
      <c r="O19" s="34">
        <v>0</v>
      </c>
      <c r="P19" s="34">
        <v>0</v>
      </c>
      <c r="Q19" s="34">
        <v>0</v>
      </c>
      <c r="R19" s="16">
        <f t="shared" si="0"/>
        <v>24</v>
      </c>
      <c r="S19" s="16">
        <v>0</v>
      </c>
      <c r="T19" s="16">
        <v>0</v>
      </c>
      <c r="U19" s="16">
        <f t="shared" si="1"/>
        <v>24</v>
      </c>
      <c r="W19" s="16" t="s">
        <v>244</v>
      </c>
    </row>
    <row r="20" spans="1:23" ht="28" x14ac:dyDescent="0.35">
      <c r="A20" s="36" t="s">
        <v>53</v>
      </c>
      <c r="B20" s="22" t="s">
        <v>76</v>
      </c>
      <c r="C20" s="16" t="s">
        <v>98</v>
      </c>
      <c r="D20" s="16" t="s">
        <v>107</v>
      </c>
      <c r="E20" s="40" t="s">
        <v>53</v>
      </c>
      <c r="F20" s="16" t="s">
        <v>105</v>
      </c>
      <c r="G20" s="16" t="s">
        <v>105</v>
      </c>
      <c r="H20" s="16" t="s">
        <v>105</v>
      </c>
      <c r="I20" s="16" t="s">
        <v>105</v>
      </c>
      <c r="J20" s="31" t="s">
        <v>106</v>
      </c>
      <c r="K20" s="16" t="s">
        <v>121</v>
      </c>
      <c r="L20" s="17">
        <v>109</v>
      </c>
      <c r="M20" s="72">
        <v>1</v>
      </c>
      <c r="O20" s="34">
        <v>0</v>
      </c>
      <c r="P20" s="34">
        <v>26</v>
      </c>
      <c r="Q20" s="79">
        <v>10</v>
      </c>
      <c r="R20" s="17">
        <v>146</v>
      </c>
      <c r="S20" s="16">
        <v>0</v>
      </c>
      <c r="T20" s="16">
        <v>0</v>
      </c>
      <c r="U20" s="16">
        <f>SUM(L20:M20) +36</f>
        <v>146</v>
      </c>
      <c r="W20" s="16" t="s">
        <v>244</v>
      </c>
    </row>
    <row r="21" spans="1:23" ht="28" x14ac:dyDescent="0.35">
      <c r="A21" s="36" t="s">
        <v>54</v>
      </c>
      <c r="B21" s="22" t="s">
        <v>77</v>
      </c>
      <c r="C21" s="16" t="s">
        <v>99</v>
      </c>
      <c r="D21" s="16" t="s">
        <v>107</v>
      </c>
      <c r="E21" s="40" t="s">
        <v>109</v>
      </c>
      <c r="F21" s="31" t="s">
        <v>106</v>
      </c>
      <c r="G21" s="16" t="s">
        <v>105</v>
      </c>
      <c r="H21" s="16" t="s">
        <v>105</v>
      </c>
      <c r="I21" s="31" t="s">
        <v>106</v>
      </c>
      <c r="J21" s="16" t="s">
        <v>105</v>
      </c>
      <c r="K21" s="16" t="s">
        <v>122</v>
      </c>
      <c r="L21" s="73">
        <v>18</v>
      </c>
      <c r="M21" s="80">
        <v>0</v>
      </c>
      <c r="O21" s="34">
        <v>0</v>
      </c>
      <c r="P21" s="34">
        <v>0</v>
      </c>
      <c r="Q21" s="34">
        <v>0</v>
      </c>
      <c r="R21" s="16">
        <f t="shared" si="0"/>
        <v>18</v>
      </c>
      <c r="S21" s="16">
        <v>0</v>
      </c>
      <c r="T21" s="16">
        <v>0</v>
      </c>
      <c r="U21" s="16">
        <f t="shared" si="1"/>
        <v>18</v>
      </c>
      <c r="W21" s="16" t="s">
        <v>242</v>
      </c>
    </row>
    <row r="22" spans="1:23" ht="28" x14ac:dyDescent="0.35">
      <c r="A22" s="36" t="s">
        <v>55</v>
      </c>
      <c r="B22" s="22" t="s">
        <v>78</v>
      </c>
      <c r="C22" s="16" t="s">
        <v>100</v>
      </c>
      <c r="D22" s="16" t="s">
        <v>107</v>
      </c>
      <c r="E22" s="40" t="s">
        <v>55</v>
      </c>
      <c r="F22" s="16" t="s">
        <v>105</v>
      </c>
      <c r="G22" s="16" t="s">
        <v>105</v>
      </c>
      <c r="H22" s="16" t="s">
        <v>105</v>
      </c>
      <c r="I22" s="16" t="s">
        <v>105</v>
      </c>
      <c r="J22" s="31" t="s">
        <v>106</v>
      </c>
      <c r="K22" s="16" t="s">
        <v>121</v>
      </c>
      <c r="L22" s="19">
        <v>100</v>
      </c>
      <c r="M22" s="34">
        <v>0</v>
      </c>
      <c r="O22" s="34">
        <v>0</v>
      </c>
      <c r="P22" s="34">
        <v>0</v>
      </c>
      <c r="Q22" s="34">
        <v>0</v>
      </c>
      <c r="R22" s="18">
        <v>100</v>
      </c>
      <c r="S22" s="18">
        <v>0</v>
      </c>
      <c r="T22" s="16">
        <v>0</v>
      </c>
      <c r="U22" s="16">
        <f t="shared" si="1"/>
        <v>100</v>
      </c>
      <c r="W22" s="16" t="s">
        <v>243</v>
      </c>
    </row>
    <row r="23" spans="1:23" ht="28" x14ac:dyDescent="0.35">
      <c r="A23" s="36" t="s">
        <v>56</v>
      </c>
      <c r="B23" s="22" t="s">
        <v>79</v>
      </c>
      <c r="C23" s="16" t="s">
        <v>101</v>
      </c>
      <c r="D23" s="16" t="s">
        <v>107</v>
      </c>
      <c r="E23" s="40" t="s">
        <v>109</v>
      </c>
      <c r="F23" s="16" t="s">
        <v>105</v>
      </c>
      <c r="G23" s="16" t="s">
        <v>105</v>
      </c>
      <c r="H23" s="16" t="s">
        <v>105</v>
      </c>
      <c r="I23" s="31" t="s">
        <v>106</v>
      </c>
      <c r="J23" s="16" t="s">
        <v>105</v>
      </c>
      <c r="K23" s="16" t="s">
        <v>122</v>
      </c>
      <c r="L23" s="19">
        <v>50</v>
      </c>
      <c r="M23" s="35">
        <v>0</v>
      </c>
      <c r="O23" s="35">
        <v>0</v>
      </c>
      <c r="P23" s="35">
        <v>0</v>
      </c>
      <c r="Q23" s="35">
        <v>0</v>
      </c>
      <c r="R23" s="16">
        <f t="shared" si="0"/>
        <v>50</v>
      </c>
      <c r="S23" s="16">
        <v>0</v>
      </c>
      <c r="T23" s="16">
        <v>0</v>
      </c>
      <c r="U23" s="16">
        <f t="shared" si="1"/>
        <v>50</v>
      </c>
      <c r="W23" s="16" t="s">
        <v>244</v>
      </c>
    </row>
    <row r="24" spans="1:23" ht="28" x14ac:dyDescent="0.35">
      <c r="A24" s="36" t="s">
        <v>57</v>
      </c>
      <c r="B24" s="22" t="s">
        <v>80</v>
      </c>
      <c r="C24" s="16" t="s">
        <v>102</v>
      </c>
      <c r="D24" s="16" t="s">
        <v>107</v>
      </c>
      <c r="E24" s="40" t="s">
        <v>114</v>
      </c>
      <c r="F24" s="31" t="s">
        <v>106</v>
      </c>
      <c r="G24" s="16" t="s">
        <v>105</v>
      </c>
      <c r="H24" s="16" t="s">
        <v>105</v>
      </c>
      <c r="I24" s="16" t="s">
        <v>105</v>
      </c>
      <c r="J24" s="31" t="s">
        <v>106</v>
      </c>
      <c r="K24" s="16" t="s">
        <v>121</v>
      </c>
      <c r="L24" s="19">
        <v>66</v>
      </c>
      <c r="M24" s="34">
        <v>0</v>
      </c>
      <c r="O24" s="34">
        <v>0</v>
      </c>
      <c r="P24" s="34">
        <v>0</v>
      </c>
      <c r="Q24" s="34">
        <v>0</v>
      </c>
      <c r="R24" s="16">
        <f t="shared" si="0"/>
        <v>66</v>
      </c>
      <c r="S24" s="16">
        <v>0</v>
      </c>
      <c r="T24" s="16">
        <v>0</v>
      </c>
      <c r="U24" s="16">
        <f t="shared" si="1"/>
        <v>66</v>
      </c>
      <c r="W24" s="16" t="s">
        <v>244</v>
      </c>
    </row>
    <row r="25" spans="1:23" ht="28.5" thickBot="1" x14ac:dyDescent="0.4">
      <c r="A25" s="38" t="s">
        <v>58</v>
      </c>
      <c r="B25" s="24" t="s">
        <v>81</v>
      </c>
      <c r="C25" s="20" t="s">
        <v>103</v>
      </c>
      <c r="D25" s="20" t="s">
        <v>107</v>
      </c>
      <c r="E25" s="41" t="s">
        <v>109</v>
      </c>
      <c r="F25" s="20" t="s">
        <v>105</v>
      </c>
      <c r="G25" s="20" t="s">
        <v>105</v>
      </c>
      <c r="H25" s="20" t="s">
        <v>105</v>
      </c>
      <c r="I25" s="48" t="s">
        <v>106</v>
      </c>
      <c r="J25" s="20" t="s">
        <v>105</v>
      </c>
      <c r="K25" s="20" t="s">
        <v>122</v>
      </c>
      <c r="L25" s="76">
        <v>44</v>
      </c>
      <c r="M25" s="50">
        <v>0</v>
      </c>
      <c r="N25" s="20"/>
      <c r="O25" s="50">
        <v>0</v>
      </c>
      <c r="P25" s="50">
        <v>0</v>
      </c>
      <c r="Q25" s="50">
        <v>0</v>
      </c>
      <c r="R25" s="25">
        <f t="shared" si="0"/>
        <v>44</v>
      </c>
      <c r="S25" s="20">
        <v>0</v>
      </c>
      <c r="T25" s="25">
        <v>0</v>
      </c>
      <c r="U25" s="25">
        <f t="shared" si="1"/>
        <v>44</v>
      </c>
      <c r="V25" s="20"/>
      <c r="W25" s="16" t="s">
        <v>244</v>
      </c>
    </row>
    <row r="26" spans="1:23" s="31" customFormat="1" ht="27" customHeight="1" thickTop="1" x14ac:dyDescent="0.35">
      <c r="A26" s="26" t="s">
        <v>108</v>
      </c>
      <c r="B26" s="26"/>
      <c r="C26" s="26"/>
      <c r="D26" s="26"/>
      <c r="E26" s="26"/>
      <c r="F26" s="26"/>
      <c r="G26" s="26"/>
      <c r="H26" s="26"/>
      <c r="I26" s="26"/>
      <c r="J26" s="26"/>
      <c r="K26" s="26"/>
      <c r="L26" s="26">
        <f>SUM(L4:L25)</f>
        <v>1237</v>
      </c>
      <c r="M26" s="26">
        <f>SUM(M4:M25)</f>
        <v>6</v>
      </c>
      <c r="N26" s="26" t="s">
        <v>118</v>
      </c>
      <c r="O26" s="49">
        <v>60</v>
      </c>
      <c r="P26" s="49">
        <v>46</v>
      </c>
      <c r="Q26" s="49">
        <v>10</v>
      </c>
      <c r="R26" s="26">
        <f>+SUM(R4:R25)</f>
        <v>1341</v>
      </c>
      <c r="S26" s="26">
        <f>SUM(S4:S25)</f>
        <v>3</v>
      </c>
      <c r="T26" s="26"/>
      <c r="U26" s="26">
        <f>SUM(U4:U25)</f>
        <v>1347</v>
      </c>
      <c r="V26" s="26"/>
      <c r="W26" s="30" t="s">
        <v>117</v>
      </c>
    </row>
    <row r="29" spans="1:23" ht="18" x14ac:dyDescent="0.35">
      <c r="A29" s="91" t="s">
        <v>245</v>
      </c>
      <c r="B29" s="91"/>
      <c r="C29" s="91"/>
    </row>
  </sheetData>
  <mergeCells count="6">
    <mergeCell ref="A29:C29"/>
    <mergeCell ref="R1:T1"/>
    <mergeCell ref="B2:C2"/>
    <mergeCell ref="O2:Q2"/>
    <mergeCell ref="S2:T2"/>
    <mergeCell ref="I2:J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DEFC-147C-447A-A1CC-79142BA0F13C}">
  <dimension ref="A1:O25"/>
  <sheetViews>
    <sheetView topLeftCell="A12" workbookViewId="0">
      <selection activeCell="D18" sqref="D18"/>
    </sheetView>
  </sheetViews>
  <sheetFormatPr defaultColWidth="8.54296875" defaultRowHeight="16" x14ac:dyDescent="0.4"/>
  <cols>
    <col min="1" max="1" width="32" style="52" customWidth="1"/>
    <col min="2" max="3" width="20.453125" customWidth="1"/>
    <col min="4" max="4" width="20.453125" style="51" customWidth="1"/>
    <col min="5" max="6" width="20.453125" customWidth="1"/>
    <col min="7" max="7" width="40.453125" customWidth="1"/>
    <col min="8" max="8" width="33.54296875" customWidth="1"/>
    <col min="9" max="9" width="32.26953125" customWidth="1"/>
    <col min="10" max="10" width="20.453125" customWidth="1"/>
    <col min="11" max="11" width="36.54296875" customWidth="1"/>
    <col min="12" max="12" width="25" customWidth="1"/>
    <col min="13" max="13" width="41.26953125" customWidth="1"/>
    <col min="14" max="14" width="26.1796875" customWidth="1"/>
    <col min="15" max="15" width="26.453125" customWidth="1"/>
    <col min="16" max="16" width="15.453125" customWidth="1"/>
  </cols>
  <sheetData>
    <row r="1" spans="1:15" ht="18" x14ac:dyDescent="0.35">
      <c r="A1" s="89"/>
      <c r="B1" s="90"/>
      <c r="C1" s="90"/>
      <c r="D1" s="90"/>
      <c r="E1" s="90"/>
      <c r="F1" s="90"/>
      <c r="G1" s="90"/>
      <c r="H1" s="90"/>
      <c r="I1" s="90"/>
      <c r="J1" s="90"/>
      <c r="K1" s="90"/>
      <c r="L1" s="90"/>
      <c r="M1" s="90"/>
      <c r="N1" s="90"/>
      <c r="O1" s="90"/>
    </row>
    <row r="2" spans="1:15" s="62" customFormat="1" ht="108.5" x14ac:dyDescent="0.35">
      <c r="A2" s="64" t="s">
        <v>37</v>
      </c>
      <c r="B2" s="63" t="s">
        <v>7</v>
      </c>
      <c r="C2" s="63" t="s">
        <v>8</v>
      </c>
      <c r="D2" s="63" t="s">
        <v>34</v>
      </c>
      <c r="E2" s="63" t="s">
        <v>9</v>
      </c>
      <c r="F2" s="63" t="s">
        <v>10</v>
      </c>
      <c r="G2" s="63" t="s">
        <v>11</v>
      </c>
      <c r="H2" s="63" t="s">
        <v>12</v>
      </c>
      <c r="I2" s="63" t="s">
        <v>35</v>
      </c>
      <c r="J2" s="63" t="s">
        <v>13</v>
      </c>
      <c r="K2" s="63" t="s">
        <v>36</v>
      </c>
      <c r="L2" s="63" t="s">
        <v>14</v>
      </c>
      <c r="M2" s="63" t="s">
        <v>15</v>
      </c>
      <c r="N2" s="63" t="s">
        <v>25</v>
      </c>
      <c r="O2" s="63" t="s">
        <v>16</v>
      </c>
    </row>
    <row r="3" spans="1:15" ht="28" x14ac:dyDescent="0.4">
      <c r="A3" s="52" t="s">
        <v>39</v>
      </c>
      <c r="B3" s="61" t="s">
        <v>115</v>
      </c>
      <c r="C3" s="66" t="s">
        <v>226</v>
      </c>
      <c r="D3" s="22" t="s">
        <v>134</v>
      </c>
      <c r="E3" s="66" t="s">
        <v>225</v>
      </c>
      <c r="F3" s="66" t="s">
        <v>134</v>
      </c>
      <c r="G3" s="66" t="s">
        <v>224</v>
      </c>
      <c r="H3" s="66" t="s">
        <v>223</v>
      </c>
      <c r="I3" s="66"/>
      <c r="J3" s="66" t="s">
        <v>222</v>
      </c>
      <c r="K3" s="66" t="s">
        <v>221</v>
      </c>
      <c r="L3" s="66"/>
      <c r="M3" s="66" t="s">
        <v>220</v>
      </c>
      <c r="N3" s="66"/>
      <c r="O3" s="66"/>
    </row>
    <row r="4" spans="1:15" ht="56" x14ac:dyDescent="0.4">
      <c r="A4" s="59" t="s">
        <v>59</v>
      </c>
      <c r="B4" s="57" t="s">
        <v>116</v>
      </c>
      <c r="C4" s="66" t="s">
        <v>143</v>
      </c>
      <c r="D4" s="22" t="s">
        <v>134</v>
      </c>
      <c r="E4" s="66" t="s">
        <v>219</v>
      </c>
      <c r="F4" s="66" t="s">
        <v>134</v>
      </c>
      <c r="G4" s="66" t="s">
        <v>218</v>
      </c>
      <c r="H4" s="66" t="s">
        <v>217</v>
      </c>
      <c r="I4" s="66"/>
      <c r="J4" s="66" t="s">
        <v>216</v>
      </c>
      <c r="K4" s="66" t="s">
        <v>215</v>
      </c>
      <c r="L4" s="66"/>
      <c r="M4" s="66" t="s">
        <v>231</v>
      </c>
      <c r="N4" s="66"/>
      <c r="O4" s="66"/>
    </row>
    <row r="5" spans="1:15" ht="28" x14ac:dyDescent="0.4">
      <c r="A5" s="52" t="s">
        <v>40</v>
      </c>
      <c r="B5" s="57" t="s">
        <v>116</v>
      </c>
      <c r="C5" s="66" t="s">
        <v>143</v>
      </c>
      <c r="D5" s="22" t="s">
        <v>134</v>
      </c>
      <c r="E5" s="66"/>
      <c r="F5" s="66" t="s">
        <v>134</v>
      </c>
      <c r="G5" s="66"/>
      <c r="H5" s="66"/>
      <c r="I5" s="66"/>
      <c r="J5" s="66" t="s">
        <v>214</v>
      </c>
      <c r="K5" s="66" t="s">
        <v>213</v>
      </c>
      <c r="L5" s="66"/>
      <c r="M5" s="66" t="s">
        <v>212</v>
      </c>
      <c r="N5" s="66"/>
      <c r="O5" s="66"/>
    </row>
    <row r="6" spans="1:15" ht="84" x14ac:dyDescent="0.4">
      <c r="A6" s="52" t="s">
        <v>41</v>
      </c>
      <c r="B6" s="58" t="s">
        <v>115</v>
      </c>
      <c r="C6" s="66" t="s">
        <v>211</v>
      </c>
      <c r="D6" s="22" t="s">
        <v>134</v>
      </c>
      <c r="E6" s="66" t="s">
        <v>210</v>
      </c>
      <c r="F6" s="66" t="s">
        <v>129</v>
      </c>
      <c r="G6" s="66" t="s">
        <v>209</v>
      </c>
      <c r="H6" s="66" t="s">
        <v>208</v>
      </c>
      <c r="I6" s="66"/>
      <c r="J6" s="66" t="s">
        <v>207</v>
      </c>
      <c r="K6" s="66" t="s">
        <v>170</v>
      </c>
      <c r="L6" s="66"/>
      <c r="M6" s="66" t="s">
        <v>232</v>
      </c>
      <c r="N6" s="66"/>
      <c r="O6" s="66"/>
    </row>
    <row r="7" spans="1:15" ht="42" x14ac:dyDescent="0.4">
      <c r="A7" s="52" t="s">
        <v>42</v>
      </c>
      <c r="B7" s="58" t="s">
        <v>115</v>
      </c>
      <c r="C7" s="66" t="s">
        <v>206</v>
      </c>
      <c r="D7" s="22" t="s">
        <v>134</v>
      </c>
      <c r="E7" s="66" t="s">
        <v>205</v>
      </c>
      <c r="F7" s="66" t="s">
        <v>129</v>
      </c>
      <c r="G7" s="66" t="s">
        <v>204</v>
      </c>
      <c r="H7" s="66" t="s">
        <v>203</v>
      </c>
      <c r="I7" s="66"/>
      <c r="J7" s="66" t="s">
        <v>202</v>
      </c>
      <c r="K7" s="66" t="s">
        <v>134</v>
      </c>
      <c r="L7" s="66"/>
      <c r="M7" s="78" t="s">
        <v>229</v>
      </c>
      <c r="N7" s="66"/>
      <c r="O7" s="66"/>
    </row>
    <row r="8" spans="1:15" ht="42" x14ac:dyDescent="0.4">
      <c r="A8" s="52" t="s">
        <v>43</v>
      </c>
      <c r="B8" s="57" t="s">
        <v>115</v>
      </c>
      <c r="C8" s="66" t="s">
        <v>201</v>
      </c>
      <c r="D8" s="22" t="s">
        <v>134</v>
      </c>
      <c r="E8" s="66" t="s">
        <v>200</v>
      </c>
      <c r="F8" s="66" t="s">
        <v>129</v>
      </c>
      <c r="G8" s="66" t="s">
        <v>199</v>
      </c>
      <c r="H8" s="66" t="s">
        <v>198</v>
      </c>
      <c r="I8" s="66"/>
      <c r="J8" s="66" t="s">
        <v>197</v>
      </c>
      <c r="K8" s="66" t="s">
        <v>170</v>
      </c>
      <c r="L8" s="66"/>
      <c r="M8" s="66" t="s">
        <v>233</v>
      </c>
      <c r="N8" s="66"/>
      <c r="O8" s="66"/>
    </row>
    <row r="9" spans="1:15" ht="32" x14ac:dyDescent="0.4">
      <c r="A9" s="59" t="s">
        <v>44</v>
      </c>
      <c r="B9" s="57" t="s">
        <v>116</v>
      </c>
      <c r="C9" s="66" t="s">
        <v>143</v>
      </c>
      <c r="D9" s="22" t="s">
        <v>134</v>
      </c>
      <c r="E9" s="66"/>
      <c r="F9" s="66" t="s">
        <v>134</v>
      </c>
      <c r="G9" s="66"/>
      <c r="H9" s="66"/>
      <c r="I9" s="66"/>
      <c r="J9" s="66" t="s">
        <v>196</v>
      </c>
      <c r="K9" s="66" t="s">
        <v>195</v>
      </c>
      <c r="L9" s="66"/>
      <c r="M9" s="66" t="s">
        <v>230</v>
      </c>
      <c r="N9" s="66"/>
      <c r="O9" s="66"/>
    </row>
    <row r="10" spans="1:15" x14ac:dyDescent="0.4">
      <c r="A10" s="52" t="s">
        <v>45</v>
      </c>
      <c r="B10" s="57" t="s">
        <v>116</v>
      </c>
      <c r="C10" s="66" t="s">
        <v>143</v>
      </c>
      <c r="D10" s="22" t="s">
        <v>134</v>
      </c>
      <c r="E10" s="66" t="s">
        <v>194</v>
      </c>
      <c r="F10" s="66" t="s">
        <v>134</v>
      </c>
      <c r="G10" s="66"/>
      <c r="H10" s="66" t="s">
        <v>143</v>
      </c>
      <c r="I10" s="66"/>
      <c r="J10" s="66" t="s">
        <v>193</v>
      </c>
      <c r="K10" s="66" t="s">
        <v>129</v>
      </c>
      <c r="L10" s="66"/>
      <c r="M10" s="77" t="s">
        <v>234</v>
      </c>
      <c r="N10" s="66"/>
      <c r="O10" s="66"/>
    </row>
    <row r="11" spans="1:15" ht="42" x14ac:dyDescent="0.4">
      <c r="A11" s="59" t="s">
        <v>46</v>
      </c>
      <c r="B11" s="58" t="s">
        <v>115</v>
      </c>
      <c r="C11" s="66" t="s">
        <v>192</v>
      </c>
      <c r="D11" s="22" t="s">
        <v>129</v>
      </c>
      <c r="E11" s="66"/>
      <c r="F11" s="66"/>
      <c r="G11" s="66" t="s">
        <v>241</v>
      </c>
      <c r="H11" s="66"/>
      <c r="I11" s="66"/>
      <c r="J11" s="66" t="s">
        <v>191</v>
      </c>
      <c r="K11" s="66" t="s">
        <v>170</v>
      </c>
      <c r="L11" s="66"/>
      <c r="M11" s="66" t="s">
        <v>190</v>
      </c>
      <c r="N11" s="66"/>
      <c r="O11" s="66"/>
    </row>
    <row r="12" spans="1:15" ht="84" x14ac:dyDescent="0.4">
      <c r="A12" s="52" t="s">
        <v>47</v>
      </c>
      <c r="B12" s="57" t="s">
        <v>116</v>
      </c>
      <c r="C12" s="66" t="s">
        <v>143</v>
      </c>
      <c r="D12" s="22" t="s">
        <v>134</v>
      </c>
      <c r="E12" s="66" t="s">
        <v>189</v>
      </c>
      <c r="F12" s="66" t="s">
        <v>134</v>
      </c>
      <c r="G12" s="66" t="s">
        <v>188</v>
      </c>
      <c r="H12" s="66" t="s">
        <v>187</v>
      </c>
      <c r="I12" s="66"/>
      <c r="J12" s="66" t="s">
        <v>186</v>
      </c>
      <c r="K12" s="66" t="s">
        <v>185</v>
      </c>
      <c r="L12" s="66"/>
      <c r="M12" s="66" t="s">
        <v>184</v>
      </c>
      <c r="N12" s="66"/>
      <c r="O12" s="66"/>
    </row>
    <row r="13" spans="1:15" ht="28" x14ac:dyDescent="0.4">
      <c r="A13" s="52" t="s">
        <v>48</v>
      </c>
      <c r="B13" s="60" t="s">
        <v>116</v>
      </c>
      <c r="C13" s="66" t="s">
        <v>143</v>
      </c>
      <c r="D13" s="22" t="s">
        <v>134</v>
      </c>
      <c r="E13" s="66" t="s">
        <v>183</v>
      </c>
      <c r="F13" s="66" t="s">
        <v>129</v>
      </c>
      <c r="G13" s="66" t="s">
        <v>182</v>
      </c>
      <c r="H13" s="66"/>
      <c r="I13" s="66"/>
      <c r="J13" s="66" t="s">
        <v>181</v>
      </c>
      <c r="K13" s="66" t="s">
        <v>170</v>
      </c>
      <c r="L13" s="66"/>
      <c r="M13" s="66" t="s">
        <v>235</v>
      </c>
      <c r="N13" s="66"/>
      <c r="O13" s="66"/>
    </row>
    <row r="14" spans="1:15" ht="42" x14ac:dyDescent="0.4">
      <c r="A14" s="52" t="s">
        <v>49</v>
      </c>
      <c r="B14" s="57" t="s">
        <v>115</v>
      </c>
      <c r="C14" s="66" t="s">
        <v>180</v>
      </c>
      <c r="D14" s="22" t="s">
        <v>134</v>
      </c>
      <c r="E14" s="66" t="s">
        <v>162</v>
      </c>
      <c r="F14" s="66" t="s">
        <v>134</v>
      </c>
      <c r="G14" s="66" t="s">
        <v>179</v>
      </c>
      <c r="H14" s="66" t="s">
        <v>178</v>
      </c>
      <c r="I14" s="66"/>
      <c r="J14" s="66" t="s">
        <v>177</v>
      </c>
      <c r="K14" s="66" t="s">
        <v>170</v>
      </c>
      <c r="L14" s="66"/>
      <c r="M14" s="66" t="s">
        <v>158</v>
      </c>
      <c r="N14" s="66"/>
      <c r="O14" s="66"/>
    </row>
    <row r="15" spans="1:15" x14ac:dyDescent="0.4">
      <c r="A15" s="52" t="s">
        <v>50</v>
      </c>
      <c r="B15" s="57" t="s">
        <v>116</v>
      </c>
      <c r="C15" s="66" t="s">
        <v>143</v>
      </c>
      <c r="D15" s="22" t="s">
        <v>129</v>
      </c>
      <c r="E15" s="66"/>
      <c r="F15" s="66"/>
      <c r="G15" s="66"/>
      <c r="H15" s="66"/>
      <c r="I15" s="66"/>
      <c r="J15" s="66" t="s">
        <v>176</v>
      </c>
      <c r="K15" s="66" t="s">
        <v>129</v>
      </c>
      <c r="L15" s="66"/>
      <c r="M15" s="66" t="s">
        <v>236</v>
      </c>
      <c r="N15" s="66"/>
      <c r="O15" s="66"/>
    </row>
    <row r="16" spans="1:15" ht="42" x14ac:dyDescent="0.4">
      <c r="A16" s="52" t="s">
        <v>51</v>
      </c>
      <c r="B16" s="58" t="s">
        <v>115</v>
      </c>
      <c r="C16" s="66" t="s">
        <v>175</v>
      </c>
      <c r="D16" s="22" t="s">
        <v>134</v>
      </c>
      <c r="E16" s="66" t="s">
        <v>174</v>
      </c>
      <c r="F16" s="66" t="s">
        <v>134</v>
      </c>
      <c r="G16" s="66" t="s">
        <v>173</v>
      </c>
      <c r="H16" s="66" t="s">
        <v>172</v>
      </c>
      <c r="I16" s="66"/>
      <c r="J16" s="66" t="s">
        <v>171</v>
      </c>
      <c r="K16" s="66" t="s">
        <v>170</v>
      </c>
      <c r="L16" s="66"/>
      <c r="M16" s="66" t="s">
        <v>237</v>
      </c>
      <c r="N16" s="66"/>
      <c r="O16" s="66"/>
    </row>
    <row r="17" spans="1:15" ht="42" x14ac:dyDescent="0.4">
      <c r="A17" s="52" t="s">
        <v>52</v>
      </c>
      <c r="B17" s="57" t="s">
        <v>115</v>
      </c>
      <c r="C17" s="66" t="s">
        <v>169</v>
      </c>
      <c r="D17" s="22" t="s">
        <v>134</v>
      </c>
      <c r="E17" s="66" t="s">
        <v>168</v>
      </c>
      <c r="F17" s="66" t="s">
        <v>134</v>
      </c>
      <c r="G17" s="66" t="s">
        <v>167</v>
      </c>
      <c r="H17" s="66" t="s">
        <v>166</v>
      </c>
      <c r="I17" s="66"/>
      <c r="J17" s="66" t="s">
        <v>165</v>
      </c>
      <c r="K17" s="66" t="s">
        <v>164</v>
      </c>
      <c r="L17" s="66"/>
      <c r="M17" s="66" t="s">
        <v>163</v>
      </c>
      <c r="N17" s="66"/>
      <c r="O17" s="66"/>
    </row>
    <row r="18" spans="1:15" ht="32" x14ac:dyDescent="0.4">
      <c r="A18" s="59" t="s">
        <v>60</v>
      </c>
      <c r="B18" s="57" t="s">
        <v>115</v>
      </c>
      <c r="C18" s="66" t="s">
        <v>49</v>
      </c>
      <c r="D18" s="22" t="s">
        <v>134</v>
      </c>
      <c r="E18" s="66" t="s">
        <v>162</v>
      </c>
      <c r="F18" s="66" t="s">
        <v>134</v>
      </c>
      <c r="G18" s="66" t="s">
        <v>161</v>
      </c>
      <c r="H18" s="66" t="s">
        <v>160</v>
      </c>
      <c r="I18" s="66"/>
      <c r="J18" s="66" t="s">
        <v>159</v>
      </c>
      <c r="K18" s="66" t="s">
        <v>134</v>
      </c>
      <c r="L18" s="66"/>
      <c r="M18" s="66" t="s">
        <v>158</v>
      </c>
      <c r="N18" s="66"/>
      <c r="O18" s="66"/>
    </row>
    <row r="19" spans="1:15" ht="56" x14ac:dyDescent="0.4">
      <c r="A19" s="52" t="s">
        <v>53</v>
      </c>
      <c r="B19" s="57" t="s">
        <v>116</v>
      </c>
      <c r="C19" s="66" t="s">
        <v>143</v>
      </c>
      <c r="D19" s="22" t="s">
        <v>134</v>
      </c>
      <c r="E19" s="66" t="s">
        <v>157</v>
      </c>
      <c r="F19" s="66" t="s">
        <v>129</v>
      </c>
      <c r="G19" s="66" t="s">
        <v>156</v>
      </c>
      <c r="H19" s="66" t="s">
        <v>155</v>
      </c>
      <c r="I19" s="66"/>
      <c r="J19" s="66" t="s">
        <v>154</v>
      </c>
      <c r="K19" s="66" t="s">
        <v>134</v>
      </c>
      <c r="L19" s="66"/>
      <c r="M19" s="66" t="s">
        <v>153</v>
      </c>
      <c r="N19" s="66"/>
      <c r="O19" s="66"/>
    </row>
    <row r="20" spans="1:15" ht="28" x14ac:dyDescent="0.4">
      <c r="A20" s="52" t="s">
        <v>54</v>
      </c>
      <c r="B20" s="58" t="s">
        <v>115</v>
      </c>
      <c r="C20" s="66" t="s">
        <v>152</v>
      </c>
      <c r="D20" s="22" t="s">
        <v>134</v>
      </c>
      <c r="E20" s="66"/>
      <c r="F20" s="66" t="s">
        <v>134</v>
      </c>
      <c r="G20" s="66" t="s">
        <v>151</v>
      </c>
      <c r="H20" s="66"/>
      <c r="I20" s="66"/>
      <c r="J20" s="66" t="s">
        <v>150</v>
      </c>
      <c r="K20" s="66" t="s">
        <v>149</v>
      </c>
      <c r="L20" s="66"/>
      <c r="M20" s="66" t="s">
        <v>238</v>
      </c>
      <c r="N20" s="66"/>
      <c r="O20" s="66"/>
    </row>
    <row r="21" spans="1:15" ht="84" x14ac:dyDescent="0.4">
      <c r="A21" s="52" t="s">
        <v>55</v>
      </c>
      <c r="B21" s="57" t="s">
        <v>116</v>
      </c>
      <c r="C21" s="66" t="s">
        <v>143</v>
      </c>
      <c r="D21" s="22" t="s">
        <v>134</v>
      </c>
      <c r="E21" s="66" t="s">
        <v>148</v>
      </c>
      <c r="F21" s="66" t="s">
        <v>129</v>
      </c>
      <c r="G21" s="66" t="s">
        <v>147</v>
      </c>
      <c r="H21" s="66" t="s">
        <v>146</v>
      </c>
      <c r="I21" s="66"/>
      <c r="J21" s="66" t="s">
        <v>145</v>
      </c>
      <c r="K21" s="66" t="s">
        <v>129</v>
      </c>
      <c r="L21" s="66"/>
      <c r="M21" s="66" t="s">
        <v>144</v>
      </c>
      <c r="N21" s="66"/>
      <c r="O21" s="66"/>
    </row>
    <row r="22" spans="1:15" ht="70" x14ac:dyDescent="0.4">
      <c r="A22" s="52" t="s">
        <v>56</v>
      </c>
      <c r="B22" s="57" t="s">
        <v>116</v>
      </c>
      <c r="C22" s="66" t="s">
        <v>143</v>
      </c>
      <c r="D22" s="22" t="s">
        <v>134</v>
      </c>
      <c r="E22" s="66"/>
      <c r="F22" s="66" t="s">
        <v>134</v>
      </c>
      <c r="G22" s="66" t="s">
        <v>142</v>
      </c>
      <c r="H22" s="66"/>
      <c r="I22" s="66"/>
      <c r="J22" s="66" t="s">
        <v>141</v>
      </c>
      <c r="K22" s="66" t="s">
        <v>140</v>
      </c>
      <c r="L22" s="66"/>
      <c r="M22" s="77" t="s">
        <v>239</v>
      </c>
      <c r="N22" s="66"/>
      <c r="O22" s="66"/>
    </row>
    <row r="23" spans="1:15" ht="70" x14ac:dyDescent="0.4">
      <c r="A23" s="52" t="s">
        <v>57</v>
      </c>
      <c r="B23" s="57" t="s">
        <v>116</v>
      </c>
      <c r="C23" s="66" t="s">
        <v>139</v>
      </c>
      <c r="D23" s="22" t="s">
        <v>134</v>
      </c>
      <c r="E23" s="66"/>
      <c r="F23" s="66" t="s">
        <v>129</v>
      </c>
      <c r="G23" s="66" t="s">
        <v>138</v>
      </c>
      <c r="H23" s="66"/>
      <c r="I23" s="66"/>
      <c r="J23" s="66" t="s">
        <v>137</v>
      </c>
      <c r="K23" s="66" t="s">
        <v>129</v>
      </c>
      <c r="L23" s="66"/>
      <c r="M23" s="66" t="s">
        <v>136</v>
      </c>
      <c r="N23" s="66"/>
      <c r="O23" s="66"/>
    </row>
    <row r="24" spans="1:15" ht="28.5" thickBot="1" x14ac:dyDescent="0.45">
      <c r="A24" s="56" t="s">
        <v>58</v>
      </c>
      <c r="B24" s="55" t="s">
        <v>115</v>
      </c>
      <c r="C24" s="66" t="s">
        <v>135</v>
      </c>
      <c r="D24" s="22" t="s">
        <v>134</v>
      </c>
      <c r="E24" s="66" t="s">
        <v>133</v>
      </c>
      <c r="F24" s="66" t="s">
        <v>129</v>
      </c>
      <c r="G24" s="66" t="s">
        <v>132</v>
      </c>
      <c r="H24" s="66" t="s">
        <v>131</v>
      </c>
      <c r="I24" s="66"/>
      <c r="J24" s="66" t="s">
        <v>130</v>
      </c>
      <c r="K24" s="66" t="s">
        <v>129</v>
      </c>
      <c r="L24" s="66"/>
      <c r="M24" s="66" t="s">
        <v>240</v>
      </c>
      <c r="N24" s="67"/>
      <c r="O24" s="67"/>
    </row>
    <row r="25" spans="1:15" ht="25.5" thickTop="1" x14ac:dyDescent="0.4">
      <c r="A25" s="54"/>
      <c r="B25" s="29" t="s">
        <v>128</v>
      </c>
      <c r="C25" s="27"/>
      <c r="D25" s="53"/>
      <c r="E25" s="27"/>
      <c r="F25" s="27"/>
      <c r="G25" s="27"/>
      <c r="H25" s="27"/>
      <c r="I25" s="27"/>
      <c r="J25" s="27"/>
      <c r="K25" s="27"/>
      <c r="L25" s="27"/>
      <c r="M25" s="27"/>
      <c r="N25" s="27"/>
      <c r="O25" s="28"/>
    </row>
  </sheetData>
  <mergeCells count="1">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LCB</vt:lpstr>
      <vt:lpstr>SH</vt:lpstr>
    </vt:vector>
  </TitlesOfParts>
  <Company>Government of Manitoba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 Ananna</dc:creator>
  <cp:lastModifiedBy>Rahman, Ananna</cp:lastModifiedBy>
  <dcterms:created xsi:type="dcterms:W3CDTF">2025-11-19T00:34:02Z</dcterms:created>
  <dcterms:modified xsi:type="dcterms:W3CDTF">2026-04-27T19:46:13Z</dcterms:modified>
</cp:coreProperties>
</file>