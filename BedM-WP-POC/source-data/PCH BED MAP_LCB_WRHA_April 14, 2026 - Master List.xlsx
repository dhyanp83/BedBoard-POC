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P:\D21\LC\PCH Unit\[NEW] Information and Tracking\Bed Maps and PCH Information\2025\Feedback From Regions\WRHA\"/>
    </mc:Choice>
  </mc:AlternateContent>
  <xr:revisionPtr revIDLastSave="0" documentId="13_ncr:1_{14007310-E8C3-45BD-9CDE-D2C819C7E969}" xr6:coauthVersionLast="47" xr6:coauthVersionMax="47" xr10:uidLastSave="{00000000-0000-0000-0000-000000000000}"/>
  <bookViews>
    <workbookView xWindow="-110" yWindow="-110" windowWidth="19420" windowHeight="12300" tabRatio="367" xr2:uid="{C20E4F64-A442-484B-9DDD-0776CE7E3D87}"/>
  </bookViews>
  <sheets>
    <sheet name="LCB" sheetId="3" r:id="rId1"/>
    <sheet name="SH" sheetId="5" r:id="rId2"/>
  </sheets>
  <externalReferences>
    <externalReference r:id="rId3"/>
    <externalReference r:id="rId4"/>
    <externalReference r:id="rId5"/>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41" i="3" l="1"/>
  <c r="L41" i="3" l="1"/>
  <c r="B14" i="5"/>
  <c r="C14" i="5"/>
  <c r="D14" i="5"/>
  <c r="E14" i="5"/>
  <c r="F14" i="5"/>
  <c r="G14" i="5"/>
  <c r="H14" i="5"/>
  <c r="I14" i="5"/>
  <c r="J14" i="5"/>
  <c r="K14" i="5"/>
  <c r="L14" i="5"/>
  <c r="M14" i="5"/>
  <c r="N14" i="5"/>
  <c r="C19" i="5" l="1"/>
  <c r="D19" i="5"/>
  <c r="E19" i="5"/>
  <c r="F19" i="5"/>
  <c r="G19" i="5"/>
  <c r="I19" i="5"/>
  <c r="J19" i="5"/>
  <c r="K19" i="5"/>
  <c r="L19" i="5"/>
  <c r="M19" i="5"/>
  <c r="N19" i="5"/>
  <c r="O19" i="5"/>
  <c r="C9" i="5" l="1"/>
  <c r="D9" i="5"/>
  <c r="E9" i="5"/>
  <c r="F9" i="5"/>
  <c r="G9" i="5"/>
  <c r="H9" i="5"/>
  <c r="I9" i="5"/>
  <c r="J9" i="5"/>
  <c r="K9" i="5"/>
  <c r="L9" i="5"/>
  <c r="M9" i="5"/>
  <c r="N9" i="5"/>
  <c r="U34" i="3" l="1"/>
  <c r="R4" i="3"/>
  <c r="U40" i="3" l="1"/>
  <c r="R40" i="3" s="1"/>
  <c r="U20" i="3"/>
  <c r="R20" i="3" s="1"/>
  <c r="U35" i="3"/>
  <c r="R35" i="3" s="1"/>
  <c r="U39" i="3"/>
  <c r="R39" i="3" s="1"/>
  <c r="U38" i="3"/>
  <c r="U36" i="3"/>
  <c r="R36" i="3" s="1"/>
  <c r="U37" i="3"/>
  <c r="R37" i="3" s="1"/>
  <c r="U33" i="3"/>
  <c r="R33" i="3" s="1"/>
  <c r="U32" i="3"/>
  <c r="R32" i="3" s="1"/>
  <c r="U31" i="3"/>
  <c r="R31" i="3" s="1"/>
  <c r="U30" i="3"/>
  <c r="U29" i="3"/>
  <c r="R29" i="3" s="1"/>
  <c r="U28" i="3"/>
  <c r="R28" i="3" s="1"/>
  <c r="U16" i="3"/>
  <c r="R16" i="3" s="1"/>
  <c r="U27" i="3"/>
  <c r="U26" i="3"/>
  <c r="R26" i="3" s="1"/>
  <c r="U15" i="3"/>
  <c r="R15" i="3" s="1"/>
  <c r="R25" i="3"/>
  <c r="U24" i="3"/>
  <c r="R24" i="3" s="1"/>
  <c r="U23" i="3"/>
  <c r="R23" i="3" s="1"/>
  <c r="U22" i="3"/>
  <c r="R22" i="3" s="1"/>
  <c r="U21" i="3"/>
  <c r="R21" i="3" s="1"/>
  <c r="U19" i="3"/>
  <c r="R19" i="3" s="1"/>
  <c r="U17" i="3"/>
  <c r="R17" i="3" s="1"/>
  <c r="U11" i="3"/>
  <c r="R11" i="3" s="1"/>
  <c r="R10" i="3"/>
  <c r="U8" i="3"/>
  <c r="R8" i="3" s="1"/>
  <c r="U7" i="3"/>
  <c r="R7" i="3" s="1"/>
  <c r="U12" i="3"/>
  <c r="R12" i="3" s="1"/>
  <c r="U5" i="3"/>
  <c r="U6" i="3"/>
  <c r="R6" i="3" s="1"/>
  <c r="R5" i="3" l="1"/>
  <c r="U41" i="3"/>
  <c r="R9"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Wendy Berriault</author>
  </authors>
  <commentList>
    <comment ref="E22" authorId="0" shapeId="0" xr:uid="{CF43D399-FB4A-4119-A16D-010ACBF274FF}">
      <text>
        <r>
          <rPr>
            <b/>
            <sz val="9"/>
            <color indexed="81"/>
            <rFont val="Tahoma"/>
            <family val="2"/>
          </rPr>
          <t>Wendy Berriault:</t>
        </r>
        <r>
          <rPr>
            <sz val="9"/>
            <color indexed="81"/>
            <rFont val="Tahoma"/>
            <family val="2"/>
          </rPr>
          <t xml:space="preserve">
Became WRHA owned and operated on March 31, 2026</t>
        </r>
      </text>
    </comment>
    <comment ref="E32" authorId="0" shapeId="0" xr:uid="{4E0AE7B8-6F7F-4DE7-94B2-E67E190F6C2F}">
      <text>
        <r>
          <rPr>
            <b/>
            <sz val="9"/>
            <color indexed="81"/>
            <rFont val="Tahoma"/>
            <family val="2"/>
          </rPr>
          <t>Wendy Berriault:</t>
        </r>
        <r>
          <rPr>
            <sz val="9"/>
            <color indexed="81"/>
            <rFont val="Tahoma"/>
            <family val="2"/>
          </rPr>
          <t xml:space="preserve">
Self managed as of April 1, 2026
</t>
        </r>
      </text>
    </comment>
  </commentList>
</comments>
</file>

<file path=xl/sharedStrings.xml><?xml version="1.0" encoding="utf-8"?>
<sst xmlns="http://schemas.openxmlformats.org/spreadsheetml/2006/main" count="881" uniqueCount="396">
  <si>
    <t>Total Licensed Beds</t>
  </si>
  <si>
    <t>Multi-Bedded PCH Rooms</t>
  </si>
  <si>
    <t># of 2 Bed Rooms</t>
  </si>
  <si>
    <t>Facility Address</t>
  </si>
  <si>
    <t>Respite PCH Beds</t>
  </si>
  <si>
    <t>Specialized Personal Care Environment Bed Types</t>
  </si>
  <si>
    <t>General PCH Beds</t>
  </si>
  <si>
    <t>Is the site juxtaposed to another facility?</t>
  </si>
  <si>
    <t>Name of the juxtaposed facility:
(Please answer only if the site is juxtaposed to another facility)</t>
  </si>
  <si>
    <t>Backup generator capacity in megawatts (MW) or kilowatts: (Optional)</t>
  </si>
  <si>
    <t>Does backup generator support the full site?</t>
  </si>
  <si>
    <t>Please provide additional backup generator information (ex. any location within the site not receivng power etc.).: (Optional)</t>
  </si>
  <si>
    <t>Does the site have alternate heating options? Is yes, please include method/technology/means. (Optional)</t>
  </si>
  <si>
    <t>Main phone line contact number:</t>
  </si>
  <si>
    <t>Does the site have backup for communication? ex: satellite phones, starlink, 2-way radios, VIOCI/Sysco phones, etc.</t>
  </si>
  <si>
    <t>Name and position of main contact: (ex. A leadership- or an executive-level contact information)</t>
  </si>
  <si>
    <t>Please provide any additional information that is crucial to the site. (Optional)</t>
  </si>
  <si>
    <t>Mailing Address</t>
  </si>
  <si>
    <t>Civic Address</t>
  </si>
  <si>
    <t xml:space="preserve"># of 3 or more Bed Rooms  </t>
  </si>
  <si>
    <t>Licence Status</t>
  </si>
  <si>
    <t>Operator</t>
  </si>
  <si>
    <t>Resident Bedroom Capacity by Bed Type</t>
  </si>
  <si>
    <t>Single Bed PCH Rooms</t>
  </si>
  <si>
    <t># of 1 Bed rooms</t>
  </si>
  <si>
    <t>How many floors does the facility have (excluding basements, if applicable)?</t>
  </si>
  <si>
    <t>Transitional Beds</t>
  </si>
  <si>
    <t>Designated Bilingual (Y/N)</t>
  </si>
  <si>
    <t>Francophone (Y/N)</t>
  </si>
  <si>
    <t>Veterans' Priority Beds</t>
  </si>
  <si>
    <t>Alternate Care Environment (ACE) Beds</t>
  </si>
  <si>
    <t>Behavioural Support &amp; Care Environment (BSCE) Beds</t>
  </si>
  <si>
    <t>Behavioural Treatment Unit (BTU) Beds</t>
  </si>
  <si>
    <t>Comments</t>
  </si>
  <si>
    <t>Does the site have backup generator power? 
(Y/N)</t>
  </si>
  <si>
    <t>In the event of a fire, does the site have an operational fire sprinkler system? 
(Y/N)</t>
  </si>
  <si>
    <t>Is the main phone line answered 24/7?
(Y/N)</t>
  </si>
  <si>
    <t>PCH  Name</t>
  </si>
  <si>
    <t>PCH Name</t>
  </si>
  <si>
    <t>Actionmarguerite (Saint-Boniface) Inc.</t>
  </si>
  <si>
    <t>Actionmarguerite (St. Joseph) Inc.</t>
  </si>
  <si>
    <t>Actionmarguerite (Saint-Vital) Inc.</t>
  </si>
  <si>
    <t>Beacon Hill Lodge</t>
  </si>
  <si>
    <t>Charleswood Care Centre</t>
  </si>
  <si>
    <t>Concordia Place</t>
  </si>
  <si>
    <t>Deer Lodge Centre</t>
  </si>
  <si>
    <t>Extendicare Oakview Place</t>
  </si>
  <si>
    <t>Extendicare Tuxedo Villa</t>
  </si>
  <si>
    <t>Fred Douglas Lodge</t>
  </si>
  <si>
    <t>Golden Door Geriatric Centre</t>
  </si>
  <si>
    <t>Golden Links Lodge</t>
  </si>
  <si>
    <t>Golden West Centennial Lodge</t>
  </si>
  <si>
    <t>Heritage Lodge</t>
  </si>
  <si>
    <t>Holy Family Nursing Home</t>
  </si>
  <si>
    <t>Luther Home</t>
  </si>
  <si>
    <t>Maples Personal Care Home</t>
  </si>
  <si>
    <t>Meadowood Manor</t>
  </si>
  <si>
    <t>Misericordia Place</t>
  </si>
  <si>
    <t>Park Manor Care</t>
  </si>
  <si>
    <t>Poseidon Care Centre</t>
  </si>
  <si>
    <t>River East Personal Care Home Ltd.</t>
  </si>
  <si>
    <t>River Park Gardens</t>
  </si>
  <si>
    <t>Riverview Health Centre Inc.</t>
  </si>
  <si>
    <t>The Convalescent Home of Winnipeg</t>
  </si>
  <si>
    <t>The Middlechurch Home of Winnipeg Inc.</t>
  </si>
  <si>
    <t>Saul and Claribel Simkin Centre</t>
  </si>
  <si>
    <t>Vista Park Lodge</t>
  </si>
  <si>
    <t>185 rue Despins Street, Winnipeg, R2H 2B3</t>
  </si>
  <si>
    <t>1149 Leila Avenue, Winnipeg, R2P 1S6</t>
  </si>
  <si>
    <t>450 chemin River Road, Winnipeg, R2M 5M4</t>
  </si>
  <si>
    <t>190 Fort Street, Winnipeg, R3C 1C9</t>
  </si>
  <si>
    <t>1045 Concordia Avenue, Winnipeg, R2K 3S7</t>
  </si>
  <si>
    <t>1325 Erin Street, Winnipeg, R3E 3R6</t>
  </si>
  <si>
    <t>5501 Roblin Street, Winnipeg, R3R 0G8</t>
  </si>
  <si>
    <t>1000 Molson Street, Winnipeg, R2K 4L5</t>
  </si>
  <si>
    <t>2109 Portage Avenue, Winnipeg, R3J 0L3</t>
  </si>
  <si>
    <t>171 Donwood Drive, Winnipeg, R2G 0V9</t>
  </si>
  <si>
    <t>2395 Ness Avenue, Winnipeg, R3J 1A5</t>
  </si>
  <si>
    <t>2060 Corydon Avenue, Winnipeg, R3P 0N3</t>
  </si>
  <si>
    <t>1275 Burrows Avenue, Winnipeg, R2X 0B8</t>
  </si>
  <si>
    <t>1679 Pembina Highway, Winnipeg, R3T 2G6</t>
  </si>
  <si>
    <t>2280 St. Mary's Road, Winnipeg, R2N 3Z6</t>
  </si>
  <si>
    <t>811 School Road, Winnipeg, R2Y 0S8</t>
  </si>
  <si>
    <t>3555 Portage Avenue, Winnipeg, R3K 0X2</t>
  </si>
  <si>
    <t>165 Aberdeen Avenue, Winnipeg, R2W 1T9</t>
  </si>
  <si>
    <t>1970 Henderson Highway, Winnipeg, R2G 1P2</t>
  </si>
  <si>
    <t>320 Sherbrook Street, Winnipeg, R3B 2W6</t>
  </si>
  <si>
    <t xml:space="preserve">1081 Andrews Street, Winnipeg,R2V 2G9 </t>
  </si>
  <si>
    <t>500 Mandalay Drive, Winnipeg, R2P 1V4</t>
  </si>
  <si>
    <t>577 St. Anne's Road, Winnipeg, R2M 3G5</t>
  </si>
  <si>
    <t>44 Furby Street, Winnipeg, R3C 2A1</t>
  </si>
  <si>
    <t>301 Redonda Street, Winnipeg, R2C 1L7</t>
  </si>
  <si>
    <t>285 Pembina Highway, Winnipeg, R3L 2E1</t>
  </si>
  <si>
    <t>70 Poseidon Bay, Winnipeg, R3M 3E5</t>
  </si>
  <si>
    <t>1375 Molson Street, Winnipeg, R2K 4K8</t>
  </si>
  <si>
    <t>735 St. Anne's Road, Winnipeg, R2N 0C4</t>
  </si>
  <si>
    <t>1 Morley Avenue, Winnipeg, R3L 2P4</t>
  </si>
  <si>
    <t>50 St. Pierre Street, Winnipeg, R3V 1J6</t>
  </si>
  <si>
    <t>1265 Lee Boulevard, Winnipeg, R3T 2M3</t>
  </si>
  <si>
    <t>276 Hugo Street North, Winnipeg, R3M 2N6</t>
  </si>
  <si>
    <t>280 Balderstone Road, West St. Paul, Manitoba, R4A 4A6</t>
  </si>
  <si>
    <t>1 Falcon Ridge Drive, Winnipeg, R3Y 1V9</t>
  </si>
  <si>
    <t>144 Novavista Drive, Winnipeg, R2N 1P8</t>
  </si>
  <si>
    <t>3199 Grant Avenue, Winnipeg, R3R 1X2</t>
  </si>
  <si>
    <t>Y</t>
  </si>
  <si>
    <t>N</t>
  </si>
  <si>
    <t>Culture-based</t>
  </si>
  <si>
    <t xml:space="preserve">Bethania Mennonite personal care home </t>
  </si>
  <si>
    <t xml:space="preserve">West Park Manor personal care home </t>
  </si>
  <si>
    <t xml:space="preserve">Southeast personal care home </t>
  </si>
  <si>
    <t xml:space="preserve">St. Norbert personal care home </t>
  </si>
  <si>
    <t xml:space="preserve">Pembina Place Mennonite personal care home </t>
  </si>
  <si>
    <t xml:space="preserve">Lions personal care home </t>
  </si>
  <si>
    <t xml:space="preserve">Kildonan personal care home </t>
  </si>
  <si>
    <t xml:space="preserve">Donwood Manor personal care home </t>
  </si>
  <si>
    <t xml:space="preserve">Calvary Place personal care home </t>
  </si>
  <si>
    <t>NJ</t>
  </si>
  <si>
    <t>J</t>
  </si>
  <si>
    <t>Unencumbered Licence</t>
  </si>
  <si>
    <t>Bethania Mennonite Personal Care Home, Inc.</t>
  </si>
  <si>
    <t>3885136 Manitoba Association Inc.</t>
  </si>
  <si>
    <t>Concordia Hospital</t>
  </si>
  <si>
    <t>Winnipeg Regional Health Authority c.o.b. Deer Lodge Centre</t>
  </si>
  <si>
    <t>Donwood Manor Personal Care Home Inc.</t>
  </si>
  <si>
    <t>Fred Douglas Society Inc.</t>
  </si>
  <si>
    <t>Oddfellows and Rebekahs Personal Care Home Inc.</t>
  </si>
  <si>
    <t>Holy Family Home Inc.</t>
  </si>
  <si>
    <t>LHC Personal Care Home Inc.</t>
  </si>
  <si>
    <t>Manitoba Baptist Home Society Inc.</t>
  </si>
  <si>
    <t>Misericordia General Hospital</t>
  </si>
  <si>
    <t>Park Manor Care Inc.</t>
  </si>
  <si>
    <t>Pembina Place Mennonite Personal Care Home</t>
  </si>
  <si>
    <t>Winnipeg Regional Health Authority</t>
  </si>
  <si>
    <t>St. Norbert Personal Care Home Inc.</t>
  </si>
  <si>
    <t>South East Tribal Council</t>
  </si>
  <si>
    <t>The Saul and Claribel Simkin Centre Personal Care Home Inc.</t>
  </si>
  <si>
    <t>Vista Park Developments Ltd. (a subsidiary of Extendicare (Canada) Inc.)</t>
  </si>
  <si>
    <t>West Park Manor Personal Care Home Inc.</t>
  </si>
  <si>
    <t>*SNU - Special Needs Unit
SNBU - Special Needs Behavioural Unit</t>
  </si>
  <si>
    <t>Extendicare Beacon Hill Lodge</t>
  </si>
  <si>
    <t xml:space="preserve">Bethania Mennonite Personal Care Home </t>
  </si>
  <si>
    <t xml:space="preserve">Calvary Place Personal Care Home </t>
  </si>
  <si>
    <t>Extendicare Charleswood Care Centre</t>
  </si>
  <si>
    <t xml:space="preserve">Donwood Manor Personal Care Home </t>
  </si>
  <si>
    <t>Extendicare Heritage Lodge</t>
  </si>
  <si>
    <t xml:space="preserve">Extendicare Kildonan Personal Care Centre </t>
  </si>
  <si>
    <t xml:space="preserve">Lions Personal Care Home </t>
  </si>
  <si>
    <t xml:space="preserve">Pembina Place Mennonite Personal Care Home </t>
  </si>
  <si>
    <t>Extendicare Poseidon Care Centre</t>
  </si>
  <si>
    <t xml:space="preserve">St. Norbert Personal Care Home </t>
  </si>
  <si>
    <t xml:space="preserve">Southeast Personal Care Home </t>
  </si>
  <si>
    <t xml:space="preserve">West Park Manor Personal Care Home </t>
  </si>
  <si>
    <r>
      <t xml:space="preserve">SNU - </t>
    </r>
    <r>
      <rPr>
        <b/>
        <sz val="11"/>
        <color rgb="FFFF0000"/>
        <rFont val="Arial"/>
        <family val="2"/>
      </rPr>
      <t>16</t>
    </r>
  </si>
  <si>
    <t>Extendicare Maples Personal Care Home</t>
  </si>
  <si>
    <t>Extendicare Vista Park Lodge</t>
  </si>
  <si>
    <t>For-Profit</t>
  </si>
  <si>
    <t>Not-For-Profit</t>
  </si>
  <si>
    <r>
      <t xml:space="preserve">For-Profit
</t>
    </r>
    <r>
      <rPr>
        <b/>
        <u/>
        <sz val="11"/>
        <color theme="1"/>
        <rFont val="Arial"/>
        <family val="2"/>
      </rPr>
      <t>(Y/N)</t>
    </r>
  </si>
  <si>
    <t>Regional Owned and Operated   (Y/N)</t>
  </si>
  <si>
    <t>Board Owned and Operated   (Y/N)</t>
  </si>
  <si>
    <t>Faith-based (FB); Culture-based (CB)</t>
  </si>
  <si>
    <t>FB</t>
  </si>
  <si>
    <t>-</t>
  </si>
  <si>
    <t>6 J
31 NJ</t>
  </si>
  <si>
    <t>Ruben Wollmann, CEO/CFO</t>
  </si>
  <si>
    <t>No, voice prompt phone system, with extension prompt to nurse desk after hours.</t>
  </si>
  <si>
    <t>204-889-3330</t>
  </si>
  <si>
    <t>n/a</t>
  </si>
  <si>
    <t>Yes</t>
  </si>
  <si>
    <t>N/A</t>
  </si>
  <si>
    <t>No. However, VM menu can forward calls to nursing stations after hours</t>
  </si>
  <si>
    <t>204-257-6688</t>
  </si>
  <si>
    <t>Boiler system used. If fails, contractor/vendor will provide emergency boiler installed until new one is received</t>
  </si>
  <si>
    <t>Back courtyard, runs on diesel</t>
  </si>
  <si>
    <t>300kwh</t>
  </si>
  <si>
    <t>Laurie Cerqueti, CEO</t>
  </si>
  <si>
    <t>no</t>
  </si>
  <si>
    <t>204-586-9781</t>
  </si>
  <si>
    <t>Gen sets provide back up power to all freezers and oven in kitchen. 1 - 15 amp plug on every residents room, 1 - 15 amp plug at each nursing station, hvac units, boiler pumps,emergency lighting throughout building, phone, data, fire alarm,security system</t>
  </si>
  <si>
    <t>2 gen sets 1 - 250KW 1-350KW</t>
  </si>
  <si>
    <t>Sandy Peers, Director of Nursing</t>
  </si>
  <si>
    <t>No, CRN will need to be contacted during after hours via cell phone. 204-801-8405</t>
  </si>
  <si>
    <t>204-339-1947</t>
  </si>
  <si>
    <t>Minimal hallway and stairwell lighting, Minimal hallway and plugs, 1 elevator, heating system (rooftop unit and boilers), Fire panels, Mag lock for exterior doors.</t>
  </si>
  <si>
    <t>No</t>
  </si>
  <si>
    <t>Continuous 200 KW, Standby 230 KW</t>
  </si>
  <si>
    <t>Charge nurse is available days, evenings, and nights.  Main line does give the option to contact the floors</t>
  </si>
  <si>
    <t>204-453-4663</t>
  </si>
  <si>
    <t>The building has under one percent baseboard heating.  Closed loop boiler circulates water through piping to heat and cool this location does nearly All the heating requirements</t>
  </si>
  <si>
    <t>Generator is a stand alone building and is located away from the main building, The generator room houses the transfer switch and the power continues to the main building distribution panel and powers entire building.</t>
  </si>
  <si>
    <t>200 Kilowatt</t>
  </si>
  <si>
    <t>yes - after hours select the nursing station option</t>
  </si>
  <si>
    <t>204-269-7111</t>
  </si>
  <si>
    <t>geothermal heating</t>
  </si>
  <si>
    <t>outside near the receiving door. Plug in each Resident room, some of the lighting, heating, kitchen equipment</t>
  </si>
  <si>
    <t>400-500 KW</t>
  </si>
  <si>
    <t>Kim Hykawy, Executive Director</t>
  </si>
  <si>
    <t>yes</t>
  </si>
  <si>
    <t>204-269-4538</t>
  </si>
  <si>
    <t>generator is located on the rear loading dock.  approximately 90% of facility is supported by generator</t>
  </si>
  <si>
    <t>208 volts 3 phase 25kW</t>
  </si>
  <si>
    <t>Kathleen Klaasen, CEO</t>
  </si>
  <si>
    <t>No. It is answered 7 days a week- 7:30am to 11:30pm.  Outside these hours the call goes to an answering machine – with the option to connect directly with the FPCM.  The FPCM in turn could contact the on-call Manager or Duty Admin.</t>
  </si>
  <si>
    <t>204-452-3411</t>
  </si>
  <si>
    <t>Generator power throughout the facility but only generator power to mechanical equipment in the Day Hospital building</t>
  </si>
  <si>
    <t>one generator = 400 KW and a second generator = 475 KW</t>
  </si>
  <si>
    <t>No, charge nurse to be contacted via cell phone 204-801-7846</t>
  </si>
  <si>
    <t>204-255-9073</t>
  </si>
  <si>
    <t>100 KW</t>
  </si>
  <si>
    <t>Tara Parent � Administrator</t>
  </si>
  <si>
    <t>204-668-7460</t>
  </si>
  <si>
    <t xml:space="preserve">Located outside in enclosed building. Powers heating, elevator, pumps, etc;  There is no power to HVAC and limited power to outlets and lighting. </t>
  </si>
  <si>
    <t>125 kilowatts</t>
  </si>
  <si>
    <t xml:space="preserve">Yes </t>
  </si>
  <si>
    <t>204-223-2660</t>
  </si>
  <si>
    <t xml:space="preserve">445 Kilowatts </t>
  </si>
  <si>
    <t>Pembina Place occupies two floors of the Manitoba Housing building at 285 Pembina Hwy, seniors independent living apartment run by the Bethania Group</t>
  </si>
  <si>
    <t>Abednigo Mandalupa JR., CEO</t>
  </si>
  <si>
    <t>Yes by nurses on duty during night time.</t>
  </si>
  <si>
    <t>204 222 3251</t>
  </si>
  <si>
    <t xml:space="preserve">Generator is located at the base. Plugs available in nurse station, offices for equipment, hallways,  server area, dining area, kitchen, Med rooms and etc.  </t>
  </si>
  <si>
    <t>75 KW on 3 Phase</t>
  </si>
  <si>
    <t>204-774-6581</t>
  </si>
  <si>
    <t xml:space="preserve">Power house - covers it </t>
  </si>
  <si>
    <t>Power house of Health Centre</t>
  </si>
  <si>
    <t>Misericordia Health Centre</t>
  </si>
  <si>
    <t>Nicole Boonstra, CEO</t>
  </si>
  <si>
    <t>yes at the nursing station</t>
  </si>
  <si>
    <t>204-257-2394</t>
  </si>
  <si>
    <t>baseboard heaters, portable heaters</t>
  </si>
  <si>
    <t>located in maintenance shop, runs everything except card access system door locks</t>
  </si>
  <si>
    <t>65 kilowatts</t>
  </si>
  <si>
    <t>Elderly Persons Housing</t>
  </si>
  <si>
    <t xml:space="preserve">Auto attendent from 4pm-8am on weekdays and all day on weekend, with option to select RCM who is here 24/7.  </t>
  </si>
  <si>
    <t>204-632-8570</t>
  </si>
  <si>
    <t>Electrical space heaters with safety shut off</t>
  </si>
  <si>
    <t>Generator runs on diesel, located on Northside of building, provides power to some electrical outlets, some lights, boilers and both elevators.</t>
  </si>
  <si>
    <t>600 Volts, 400 Amps, 60 Hz, 3 Phase</t>
  </si>
  <si>
    <t>Keith Bytheway� CEO</t>
  </si>
  <si>
    <t>204 338 4641</t>
  </si>
  <si>
    <t>S/W Corner of the facility. Generator provides all power requirements for the site.</t>
  </si>
  <si>
    <t>200 KW</t>
  </si>
  <si>
    <t>yes, it's and it's also hooked up to our backup generator</t>
  </si>
  <si>
    <t>204-334-4633</t>
  </si>
  <si>
    <t>Back Up Generator provide Power is provided to heating units AH-3 (Main Ding Room), AH-1 (2nd and 3rd floor Ding Rooms)</t>
  </si>
  <si>
    <t>Location of the Generator: Outside Utility building: Power heating units AH-3 (Main DNG Room), AH-1 (2-3 DRM), Main Kitchen, oven, lighting, receptacles, Med Rooms lighting and receptacles, 1,2,3 CC's receptacles and Emergency lighting in the building</t>
  </si>
  <si>
    <t>ONAN Model #:	80DGDA-61849H Capacity (KW) 	100kW</t>
  </si>
  <si>
    <t>phone tree to various phones</t>
  </si>
  <si>
    <t>204 888-7940</t>
  </si>
  <si>
    <t>no - Charge Nurse number - 204-771-0245 is manned 24/7</t>
  </si>
  <si>
    <t>204-888-3311</t>
  </si>
  <si>
    <t>none - all heating is through rooftop NG fired units with electric baseboards in resident rooms.</t>
  </si>
  <si>
    <t>Located in basement.  Provides emergency power to elevators, fire panel, some receptacles, sump/fire pumps, IT room, card access, emergency lighting/exit lights, kitchen fire suppression, fire dampers, nurse call, fans, etc.</t>
  </si>
  <si>
    <t>125 kw</t>
  </si>
  <si>
    <t>204-257-9947</t>
  </si>
  <si>
    <t>none</t>
  </si>
  <si>
    <t>On property near back entrance.  Powered by diesel fuel.  The generator powers general minimal in the building which include, lights, elevator, nurse call system, doors, fire, all air movement equipment, boilers, pumps.</t>
  </si>
  <si>
    <t>Kelly Barnert-Loewen, Executive Director</t>
  </si>
  <si>
    <t>Extension 2 is the nursing station and is answered 24/7</t>
  </si>
  <si>
    <t>204-269-6308</t>
  </si>
  <si>
    <t>We do not have a backup generator but we have a transfer switch installed and inspected yearly. In the event that we would need a backup generator, one could be brought in and hooked up to the transfer switch.</t>
  </si>
  <si>
    <t xml:space="preserve">204 889 2650 </t>
  </si>
  <si>
    <t>Paul Thannuvelil, Administrator</t>
  </si>
  <si>
    <t>204-888-3005</t>
  </si>
  <si>
    <t>NA</t>
  </si>
  <si>
    <t>Located on the South side, powered by gas.</t>
  </si>
  <si>
    <t>Paul Nyhof � CEO</t>
  </si>
  <si>
    <t>No, however there is a voicemail transfer which will allow families to be able to call the nursing units and leave voicemails</t>
  </si>
  <si>
    <t>204-668-4410</t>
  </si>
  <si>
    <t>Donwood Manor EPH � Elderly Persons Housing � a Manitoba Housing building for seniors</t>
  </si>
  <si>
    <t>204-837-1301</t>
  </si>
  <si>
    <t xml:space="preserve">Tower building has radiant heat </t>
  </si>
  <si>
    <t xml:space="preserve">Located in utility building and supplies minimum lighting, emergency plugs, all fire protection systems, water supply, ventilation, boiler controls, mag locks on fire and security doors, specified elevators and piped oxygen and suction. </t>
  </si>
  <si>
    <t>we have one generator 400 KW</t>
  </si>
  <si>
    <t>204-943-4424</t>
  </si>
  <si>
    <t>Located in generator room, - does not supply 100% of power to the facility and only powers emergency items</t>
  </si>
  <si>
    <t>175 KW</t>
  </si>
  <si>
    <t>Gary Ledoux , CEO</t>
  </si>
  <si>
    <t xml:space="preserve">Automated answering when Main office closed </t>
  </si>
  <si>
    <t>204-667-0795</t>
  </si>
  <si>
    <t>None</t>
  </si>
  <si>
    <t>Designated outlets and lighting receives power from back up generator</t>
  </si>
  <si>
    <t>Back up power is through Concordia Hospital</t>
  </si>
  <si>
    <t xml:space="preserve">BethaniaHaus Seniors Independent Living Housing, Concordia Hospital </t>
  </si>
  <si>
    <t>No, 9-6pm.</t>
  </si>
  <si>
    <t>204-942-7541</t>
  </si>
  <si>
    <t>Portable.</t>
  </si>
  <si>
    <t>Micheline St-Hilaire, CEO</t>
  </si>
  <si>
    <t>callers will likely receive voicemail from 4 pm to 8 am</t>
  </si>
  <si>
    <t>204-254-3332</t>
  </si>
  <si>
    <t>portable heaters (low wattage)</t>
  </si>
  <si>
    <t>150 KW</t>
  </si>
  <si>
    <t>callers will likely receive voicemail from 5 pm to 9 am</t>
  </si>
  <si>
    <t>204-697-8031</t>
  </si>
  <si>
    <t>at the outside rear of the building, it supplies electricity to: elevator, nurse call system, boilers,  walk-in fridges and freezers, limited emergency receptacles, emergency lighting, fire alarm system</t>
  </si>
  <si>
    <t>callers will likely receive voicemail from 7 pm to 7 am</t>
  </si>
  <si>
    <t>204-233-3692</t>
  </si>
  <si>
    <t>300 KW</t>
  </si>
  <si>
    <t>Lisa Martens, CEO</t>
  </si>
  <si>
    <t>Richard Vicklund, Executive Director</t>
  </si>
  <si>
    <t xml:space="preserve">John Mikula, Administrator </t>
  </si>
  <si>
    <t>Kristen Holmes, Executive Director</t>
  </si>
  <si>
    <t>Matthew Braun, Executive Director</t>
  </si>
  <si>
    <t>Joel Agpaoa, Executive Director</t>
  </si>
  <si>
    <t>Gary Ledoux, CEO</t>
  </si>
  <si>
    <t xml:space="preserve">Temenuzhka Koleva, Executive Director </t>
  </si>
  <si>
    <t>Kevin Friesen, ED/DOC</t>
  </si>
  <si>
    <t>Sharon Wilms, CEO</t>
  </si>
  <si>
    <t>Ken St George, Executive Director</t>
  </si>
  <si>
    <t xml:space="preserve">If the power is out, the only heat would come from the circulation pumps, circulating glycol, however this is not enough to heat the facility without baseboard heaters                     </t>
  </si>
  <si>
    <t>Cell phones, 2 way radios</t>
  </si>
  <si>
    <t>Nancy Hovmand Director of Health Services</t>
  </si>
  <si>
    <t>Cell Phones</t>
  </si>
  <si>
    <t>2 way radios</t>
  </si>
  <si>
    <t>Alison Anderson, Director  Health Services</t>
  </si>
  <si>
    <t>2 floors</t>
  </si>
  <si>
    <t>FRS radios</t>
  </si>
  <si>
    <t>main floor and basement</t>
  </si>
  <si>
    <t>cell and landline</t>
  </si>
  <si>
    <t xml:space="preserve">Yes only partial </t>
  </si>
  <si>
    <t xml:space="preserve">No </t>
  </si>
  <si>
    <t xml:space="preserve">We are situated in a manitoba housing building on the 2nd and thrird floor of a 6 floor building </t>
  </si>
  <si>
    <t>2-way radios are on site</t>
  </si>
  <si>
    <t>Arle Jones, COO and Nyerhovwo Leslie Ekrebe, Director FM</t>
  </si>
  <si>
    <t>Tower building -10 floors and Lodge building has 9 floors</t>
  </si>
  <si>
    <t>Yes, except Movement Disorder Clinic (in separate building)</t>
  </si>
  <si>
    <t>206 KW</t>
  </si>
  <si>
    <t>Mori Place</t>
  </si>
  <si>
    <t>Limited number od cell phones available</t>
  </si>
  <si>
    <t>Axium Extendicare LTC II LP, by its general partners Extendicare LTC Managing II GP Inc. and Axium Extendicare LTC II GP Inc.</t>
  </si>
  <si>
    <t>Extendicare (Canada) Inc.</t>
  </si>
  <si>
    <t>2- 450 KW units</t>
  </si>
  <si>
    <t xml:space="preserve">Two way radio at MP1 Nursing station that communicates with security/Plant services/Main switchboard. </t>
  </si>
  <si>
    <t xml:space="preserve"> Jennifer Taylor, Director Health Services; Ron Belanger - Director - Plant  Services </t>
  </si>
  <si>
    <t>Provides backup power to entire building, with enclosure and runs on diesel fuel</t>
  </si>
  <si>
    <t>NO,  but in process</t>
  </si>
  <si>
    <t>No, Admin cellphones only</t>
  </si>
  <si>
    <t>Only one main service elevator</t>
  </si>
  <si>
    <t>Lions Housing Centres Inc.</t>
  </si>
  <si>
    <t>204-784-1240</t>
  </si>
  <si>
    <t>Cesar Baez, Executive Director</t>
  </si>
  <si>
    <t>PCH has 4 floors</t>
  </si>
  <si>
    <t>While PCH occupies 4 floors, the North Tower has 11 floors and South Tower has 14 floors</t>
  </si>
  <si>
    <t>600 Amps</t>
  </si>
  <si>
    <t>Panels K, P, C,A,MA covered by generators</t>
  </si>
  <si>
    <t xml:space="preserve">Yes LOWE – for additional external boiler if we need </t>
  </si>
  <si>
    <t xml:space="preserve">(204)452 6204 </t>
  </si>
  <si>
    <t>2 way radios/ Managers cell phoines</t>
  </si>
  <si>
    <t>204-888-3363 (Main Line / Phone Tree)
204-833-3675 (RCM / Responsible Cell Phone)</t>
  </si>
  <si>
    <t>Y - Phone Tree After Hours
Y -  RCM / Responsible Nurse Cell Phone 24/7</t>
  </si>
  <si>
    <t>RCM Cell phone
2-way radio</t>
  </si>
  <si>
    <t>Brick Building</t>
  </si>
  <si>
    <t>Removed respite bed and adjusted general PCH bed total</t>
  </si>
  <si>
    <t>Adjusted veteran and SNU beds based on confirmation from site</t>
  </si>
  <si>
    <t>Removed respite beds and adjusted bed totals</t>
  </si>
  <si>
    <t>As of April 1 Golden Door will be a devolved site, not-for-profit</t>
  </si>
  <si>
    <r>
      <t xml:space="preserve">SNBU - </t>
    </r>
    <r>
      <rPr>
        <b/>
        <sz val="11"/>
        <color rgb="FFFF0000"/>
        <rFont val="Arial"/>
        <family val="2"/>
      </rPr>
      <t>11</t>
    </r>
  </si>
  <si>
    <t xml:space="preserve">Poseidon’s operating bed base is different than its licensed bed base due to an exception to service granted in 2019 to create the SNBU.  Poseidon operates 211 beds. </t>
  </si>
  <si>
    <t>Number of 1 bed rooms was incorrect, s/b 12</t>
  </si>
  <si>
    <t>Added transitional beds</t>
  </si>
  <si>
    <t>Updated single bed rooms</t>
  </si>
  <si>
    <t>Adjusted bed numbers based on confirmation from site</t>
  </si>
  <si>
    <t xml:space="preserve">A bldg. electric baseboard in resident rooms. A bldg. hot water heating and reheats. B bldg. rooftop units. B bldg. electric reheats in resident rooms. C bldg. heat pump. C bldg. hot water radiant.  in colder weather buildings require both systems to be operational for heating </t>
  </si>
  <si>
    <t>SNU - 81</t>
  </si>
  <si>
    <r>
      <t xml:space="preserve">
SNBU - </t>
    </r>
    <r>
      <rPr>
        <b/>
        <sz val="11"/>
        <color rgb="FFFF0000"/>
        <rFont val="Arial"/>
        <family val="2"/>
      </rPr>
      <t>32</t>
    </r>
  </si>
  <si>
    <t>34 of the general PCH beds serve a young adult population</t>
  </si>
  <si>
    <t>SNU - 68</t>
  </si>
  <si>
    <r>
      <t>ABI - 9
SNBU -</t>
    </r>
    <r>
      <rPr>
        <b/>
        <sz val="11"/>
        <color rgb="FFFF0000"/>
        <rFont val="Arial"/>
        <family val="2"/>
      </rPr>
      <t>18</t>
    </r>
  </si>
  <si>
    <t>8 respite beds are located in the Misericordia TCU, not within the PCH</t>
  </si>
  <si>
    <t xml:space="preserve">Charleswood's operating bed base is different than its licensed bed base due to an exception to service granted in 2019 to create the SNB.  Charleswood operates 140 beds. </t>
  </si>
  <si>
    <r>
      <t xml:space="preserve">
SNBU -</t>
    </r>
    <r>
      <rPr>
        <b/>
        <sz val="11"/>
        <color rgb="FFFF0000"/>
        <rFont val="Arial"/>
        <family val="2"/>
      </rPr>
      <t>10</t>
    </r>
  </si>
  <si>
    <t>SNU - 21</t>
  </si>
  <si>
    <r>
      <t xml:space="preserve">
SNBU - </t>
    </r>
    <r>
      <rPr>
        <b/>
        <sz val="11"/>
        <color rgb="FFFF0000"/>
        <rFont val="Arial"/>
        <family val="2"/>
      </rPr>
      <t>15</t>
    </r>
  </si>
  <si>
    <t>SNU - 45</t>
  </si>
  <si>
    <t>2-way radios</t>
  </si>
  <si>
    <t>Jordan Hudson Operations Manager</t>
  </si>
  <si>
    <t>Chelsey Cook, Executive Director</t>
  </si>
  <si>
    <t>100 KW generator on site will be operational once permit has been approved.</t>
  </si>
  <si>
    <t>Outside by the loading dock, it supplies electricity to: fire alarm system, emergency lighting, exit signs, nurse call system, magnetic locks  at exits, powerhouse (partial), firefighter elevators, fire pumps, Server, and limited emergency receptacles</t>
  </si>
  <si>
    <t>Y (partial)</t>
  </si>
  <si>
    <t>cellular phones</t>
  </si>
  <si>
    <t>ABC tower: 5 (+ Mech Penthouse)
DE tower:  4 (+ Mech Penthouse)</t>
  </si>
  <si>
    <t>location = basement.  Supplies electricity to:  fire alarm system, emergency lighting, stairway lights, exit signs, nurse call system, magnetic locks at exits, elevator, fridges and coolers.</t>
  </si>
  <si>
    <t>Main Building: 3 (+ Mech Penthouse)
Unité Marguerite addition: 1 (+ Mech Penthouse)</t>
  </si>
  <si>
    <t>boiler and electric</t>
  </si>
  <si>
    <t>Yes but through an automated switchboard when no one is physically present at reception desk</t>
  </si>
  <si>
    <t xml:space="preserve">one floor </t>
  </si>
  <si>
    <t>Many staff have cell phones</t>
  </si>
  <si>
    <t>Simkin Building 2, Weinberg Buidling 3</t>
  </si>
  <si>
    <t>Two way radios</t>
  </si>
  <si>
    <t>We have 7 floors - 4 floors are clinical areas, 5th floor is a mechanical room, 6th floor is an elevator mechanical room and 7th floor is another elevator mechanical room</t>
  </si>
  <si>
    <t>Self managed as of April 1, 2026</t>
  </si>
  <si>
    <t>SNU - 231</t>
  </si>
  <si>
    <t>ABI - 9
SNBU - 86</t>
  </si>
  <si>
    <t>Total Operating Beds</t>
  </si>
  <si>
    <t>This document reflects the most recent updates as of April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</si>
</sst>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Aptos Narrow"/>
      <family val="2"/>
      <scheme val="minor"/>
    </font>
    <font>
      <b/>
      <sz val="10"/>
      <color theme="1"/>
      <name val="Arial"/>
      <family val="2"/>
    </font>
    <font>
      <b/>
      <u/>
      <sz val="12"/>
      <color theme="1"/>
      <name val="Arial"/>
      <family val="2"/>
    </font>
    <font>
      <b/>
      <u/>
      <sz val="12"/>
      <color theme="0" tint="-4.9989318521683403E-2"/>
      <name val="Arial"/>
      <family val="2"/>
    </font>
    <font>
      <b/>
      <sz val="14"/>
      <color theme="1"/>
      <name val="Arial"/>
      <family val="2"/>
    </font>
    <font>
      <b/>
      <u/>
      <sz val="14"/>
      <color theme="1"/>
      <name val="Arial"/>
      <family val="2"/>
    </font>
    <font>
      <sz val="11"/>
      <color theme="1"/>
      <name val="Arial"/>
      <family val="2"/>
    </font>
    <font>
      <b/>
      <u/>
      <sz val="12"/>
      <color rgb="FF002060"/>
      <name val="Arial"/>
      <family val="2"/>
    </font>
    <font>
      <sz val="10"/>
      <color indexed="8"/>
      <name val="Arial"/>
      <family val="2"/>
    </font>
    <font>
      <sz val="10"/>
      <color theme="1"/>
      <name val="Arial"/>
      <family val="2"/>
    </font>
    <font>
      <b/>
      <sz val="11"/>
      <color theme="1"/>
      <name val="Aptos Narrow"/>
      <family val="2"/>
      <scheme val="minor"/>
    </font>
    <font>
      <sz val="11"/>
      <color rgb="FF000000"/>
      <name val="Arial"/>
      <family val="2"/>
    </font>
    <font>
      <sz val="11"/>
      <color rgb="FFFF0000"/>
      <name val="Arial"/>
      <family val="2"/>
    </font>
    <font>
      <sz val="11"/>
      <name val="Arial"/>
      <family val="2"/>
    </font>
    <font>
      <b/>
      <sz val="11"/>
      <color theme="1"/>
      <name val="Arial"/>
      <family val="2"/>
    </font>
    <font>
      <sz val="11"/>
      <color indexed="8"/>
      <name val="Arial"/>
      <family val="2"/>
    </font>
    <font>
      <b/>
      <sz val="11"/>
      <color rgb="FFFF0000"/>
      <name val="Arial"/>
      <family val="2"/>
    </font>
    <font>
      <b/>
      <u/>
      <sz val="11"/>
      <color theme="1"/>
      <name val="Arial"/>
      <family val="2"/>
    </font>
    <font>
      <sz val="12"/>
      <color theme="1"/>
      <name val="Arial"/>
      <family val="2"/>
    </font>
    <font>
      <sz val="12"/>
      <color theme="1"/>
      <name val="Aptos Narrow"/>
      <family val="2"/>
      <scheme val="minor"/>
    </font>
    <font>
      <b/>
      <sz val="12"/>
      <color theme="1"/>
      <name val="Aptos Narrow"/>
      <family val="2"/>
      <scheme val="minor"/>
    </font>
    <font>
      <sz val="10"/>
      <color theme="1" tint="4.9989318521683403E-2"/>
      <name val="Arial"/>
      <family val="2"/>
    </font>
    <font>
      <sz val="10"/>
      <color rgb="FF000000"/>
      <name val="Arial"/>
      <family val="2"/>
    </font>
    <font>
      <sz val="12"/>
      <color theme="1"/>
      <name val="Times New Roman"/>
      <family val="1"/>
    </font>
    <font>
      <sz val="9"/>
      <color indexed="81"/>
      <name val="Tahoma"/>
      <family val="2"/>
    </font>
    <font>
      <b/>
      <sz val="9"/>
      <color indexed="81"/>
      <name val="Tahoma"/>
      <family val="2"/>
    </font>
    <font>
      <b/>
      <sz val="14"/>
      <color theme="3"/>
      <name val="Arial"/>
      <family val="2"/>
    </font>
  </fonts>
  <fills count="20">
    <fill>
      <patternFill patternType="none"/>
    </fill>
    <fill>
      <patternFill patternType="gray125"/>
    </fill>
    <fill>
      <patternFill patternType="solid">
        <fgColor theme="2" tint="-0.249977111117893"/>
        <bgColor indexed="65"/>
      </patternFill>
    </fill>
    <fill>
      <patternFill patternType="solid">
        <fgColor theme="3" tint="0.89996032593768116"/>
        <bgColor indexed="65"/>
      </patternFill>
    </fill>
    <fill>
      <patternFill patternType="solid">
        <fgColor theme="0" tint="-0.249977111117893"/>
        <bgColor indexed="65"/>
      </patternFill>
    </fill>
    <fill>
      <patternFill patternType="solid">
        <fgColor rgb="FFBCD7F2"/>
      </patternFill>
    </fill>
    <fill>
      <patternFill patternType="solid">
        <fgColor rgb="FF85B6E7"/>
      </patternFill>
    </fill>
    <fill>
      <patternFill patternType="solid">
        <fgColor theme="3" tint="0.49995422223578601"/>
        <bgColor indexed="65"/>
      </patternFill>
    </fill>
    <fill>
      <patternFill patternType="solid">
        <fgColor theme="3" tint="0.249977111117893"/>
        <bgColor indexed="65"/>
      </patternFill>
    </fill>
    <fill>
      <patternFill patternType="solid">
        <fgColor theme="3" tint="9.9978637043366805E-2"/>
        <bgColor indexed="65"/>
      </patternFill>
    </fill>
    <fill>
      <patternFill patternType="solid">
        <fgColor theme="0" tint="-4.9989318521683403E-2"/>
        <bgColor indexed="65"/>
      </patternFill>
    </fill>
    <fill>
      <patternFill patternType="solid">
        <fgColor theme="0" tint="-0.14999847407452621"/>
        <bgColor indexed="65"/>
      </patternFill>
    </fill>
    <fill>
      <patternFill patternType="solid">
        <fgColor theme="2" tint="-9.9978637043366805E-2"/>
        <bgColor indexed="65"/>
      </patternFill>
    </fill>
    <fill>
      <patternFill patternType="solid">
        <fgColor theme="2" tint="-0.49995422223578601"/>
        <bgColor indexed="65"/>
      </patternFill>
    </fill>
    <fill>
      <patternFill patternType="solid">
        <fgColor rgb="FFB3FFEB"/>
      </patternFill>
    </fill>
    <fill>
      <patternFill patternType="solid">
        <fgColor theme="6" tint="0.79995117038483843"/>
        <bgColor indexed="65"/>
      </patternFill>
    </fill>
    <fill>
      <patternFill patternType="solid">
        <fgColor theme="3" tint="0.89999084444715716"/>
        <bgColor indexed="64"/>
      </patternFill>
    </fill>
    <fill>
      <patternFill patternType="solid">
        <fgColor rgb="FFD0D4E2"/>
        <bgColor indexed="64"/>
      </patternFill>
    </fill>
    <fill>
      <patternFill patternType="solid">
        <fgColor rgb="FFFFFF00"/>
        <bgColor indexed="64"/>
      </patternFill>
    </fill>
    <fill>
      <patternFill patternType="solid">
        <fgColor theme="0"/>
        <bgColor indexed="64"/>
      </patternFill>
    </fill>
  </fills>
  <borders count="26">
    <border>
      <left/>
      <right/>
      <top/>
      <bottom/>
      <diagonal/>
    </border>
    <border>
      <left/>
      <right/>
      <top/>
      <bottom style="thin">
        <color indexed="64"/>
      </bottom>
      <diagonal/>
    </border>
    <border>
      <left style="thin">
        <color theme="0" tint="-0.249977111117893"/>
      </left>
      <right/>
      <top/>
      <bottom/>
      <diagonal/>
    </border>
    <border>
      <left style="thin">
        <color theme="0" tint="-0.249977111117893"/>
      </left>
      <right style="thin">
        <color theme="0" tint="-0.249977111117893"/>
      </right>
      <top/>
      <bottom/>
      <diagonal/>
    </border>
    <border>
      <left/>
      <right style="thin">
        <color theme="0" tint="-0.249977111117893"/>
      </right>
      <top/>
      <bottom/>
      <diagonal/>
    </border>
    <border>
      <left style="thin">
        <color theme="0" tint="-0.249977111117893"/>
      </left>
      <right style="thin">
        <color theme="0" tint="-0.249977111117893"/>
      </right>
      <top style="thin">
        <color indexed="64"/>
      </top>
      <bottom/>
      <diagonal/>
    </border>
    <border>
      <left/>
      <right/>
      <top/>
      <bottom style="double">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style="thin">
        <color indexed="64"/>
      </bottom>
      <diagonal/>
    </border>
    <border>
      <left style="thin">
        <color theme="2" tint="-0.249977111117893"/>
      </left>
      <right/>
      <top/>
      <bottom/>
      <diagonal/>
    </border>
    <border>
      <left style="thin">
        <color theme="2" tint="-0.249977111117893"/>
      </left>
      <right/>
      <top style="thin">
        <color theme="2" tint="-0.249977111117893"/>
      </top>
      <bottom/>
      <diagonal/>
    </border>
    <border>
      <left style="thin">
        <color theme="2" tint="-0.249977111117893"/>
      </left>
      <right/>
      <top/>
      <bottom style="thin">
        <color theme="2" tint="-0.249977111117893"/>
      </bottom>
      <diagonal/>
    </border>
    <border>
      <left/>
      <right style="thin">
        <color indexed="64"/>
      </right>
      <top style="thin">
        <color theme="2" tint="-0.249977111117893"/>
      </top>
      <bottom/>
      <diagonal/>
    </border>
    <border>
      <left style="thin">
        <color theme="2" tint="-0.249977111117893"/>
      </left>
      <right style="thin">
        <color theme="2" tint="-0.249977111117893"/>
      </right>
      <top/>
      <bottom style="thin">
        <color theme="2" tint="-0.249977111117893"/>
      </bottom>
      <diagonal/>
    </border>
    <border>
      <left style="thin">
        <color theme="2" tint="-0.249977111117893"/>
      </left>
      <right style="thin">
        <color theme="2" tint="-0.249977111117893"/>
      </right>
      <top style="thin">
        <color theme="2" tint="-0.249977111117893"/>
      </top>
      <bottom/>
      <diagonal/>
    </border>
    <border>
      <left/>
      <right style="thin">
        <color theme="2" tint="-0.249977111117893"/>
      </right>
      <top/>
      <bottom/>
      <diagonal/>
    </border>
    <border>
      <left style="thin">
        <color theme="2" tint="-0.249977111117893"/>
      </left>
      <right style="thin">
        <color theme="2" tint="-0.249977111117893"/>
      </right>
      <top/>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64"/>
      </left>
      <right style="thin">
        <color indexed="64"/>
      </right>
      <top style="thin">
        <color indexed="64"/>
      </top>
      <bottom/>
      <diagonal/>
    </border>
  </borders>
  <cellStyleXfs count="2">
    <xf numFmtId="0" fontId="0" fillId="0" borderId="0"/>
    <xf numFmtId="0" fontId="8" fillId="0" borderId="0"/>
  </cellStyleXfs>
  <cellXfs count="105">
    <xf numFmtId="0" fontId="0" fillId="0" borderId="0" xfId="0"/>
    <xf numFmtId="0" fontId="2" fillId="0" borderId="0" xfId="0" applyFont="1" applyAlignment="1">
      <alignment horizontal="center" vertical="center" wrapText="1"/>
    </xf>
    <xf numFmtId="0" fontId="4" fillId="0" borderId="1" xfId="0" applyFont="1" applyBorder="1" applyAlignment="1">
      <alignment horizontal="center" vertical="center" wrapText="1"/>
    </xf>
    <xf numFmtId="0" fontId="4" fillId="2" borderId="1"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5" borderId="2" xfId="0" applyFont="1" applyFill="1" applyBorder="1" applyAlignment="1">
      <alignment horizontal="center" vertical="center" wrapText="1"/>
    </xf>
    <xf numFmtId="0" fontId="2" fillId="6" borderId="0" xfId="0" applyFont="1" applyFill="1" applyAlignment="1">
      <alignment horizontal="center" vertical="center" wrapText="1"/>
    </xf>
    <xf numFmtId="0" fontId="2" fillId="10" borderId="0" xfId="0" applyFont="1" applyFill="1" applyAlignment="1">
      <alignment horizontal="center" vertical="center" wrapText="1"/>
    </xf>
    <xf numFmtId="0" fontId="2" fillId="11" borderId="0" xfId="0" applyFont="1" applyFill="1" applyAlignment="1">
      <alignment horizontal="center" vertical="center" wrapText="1"/>
    </xf>
    <xf numFmtId="0" fontId="2" fillId="12" borderId="4" xfId="0" applyFont="1" applyFill="1" applyBorder="1" applyAlignment="1">
      <alignment horizontal="center" vertical="center" wrapText="1"/>
    </xf>
    <xf numFmtId="0" fontId="2" fillId="4" borderId="0" xfId="0" applyFont="1" applyFill="1" applyAlignment="1">
      <alignment horizontal="center" vertical="center" wrapText="1"/>
    </xf>
    <xf numFmtId="0" fontId="1" fillId="2" borderId="0" xfId="0" applyFont="1" applyFill="1" applyAlignment="1">
      <alignment horizontal="center" vertical="center" wrapText="1"/>
    </xf>
    <xf numFmtId="0" fontId="1" fillId="2" borderId="0" xfId="0" applyFont="1" applyFill="1" applyAlignment="1">
      <alignment vertical="center"/>
    </xf>
    <xf numFmtId="0" fontId="1" fillId="2" borderId="5" xfId="0" applyFont="1" applyFill="1" applyBorder="1" applyAlignment="1">
      <alignment horizontal="center" vertical="center" wrapText="1"/>
    </xf>
    <xf numFmtId="0" fontId="3" fillId="13" borderId="2" xfId="0" applyFont="1" applyFill="1" applyBorder="1" applyAlignment="1">
      <alignment horizontal="center" vertical="center" wrapText="1"/>
    </xf>
    <xf numFmtId="0" fontId="7" fillId="14" borderId="0" xfId="0" applyFont="1" applyFill="1" applyAlignment="1">
      <alignment horizontal="center" vertical="center" wrapText="1"/>
    </xf>
    <xf numFmtId="0" fontId="6" fillId="0" borderId="0" xfId="0" applyFont="1"/>
    <xf numFmtId="0" fontId="6" fillId="0" borderId="6" xfId="0" applyFont="1" applyBorder="1"/>
    <xf numFmtId="0" fontId="2" fillId="0" borderId="13" xfId="0" applyFont="1" applyBorder="1" applyAlignment="1">
      <alignment horizontal="center" vertical="center" wrapText="1"/>
    </xf>
    <xf numFmtId="0" fontId="1" fillId="16" borderId="12" xfId="0" applyFont="1" applyFill="1" applyBorder="1" applyAlignment="1">
      <alignment horizontal="center" vertical="center" wrapText="1"/>
    </xf>
    <xf numFmtId="0" fontId="10" fillId="16" borderId="7" xfId="0" applyFont="1" applyFill="1" applyBorder="1"/>
    <xf numFmtId="0" fontId="10" fillId="16" borderId="8" xfId="0" applyFont="1" applyFill="1" applyBorder="1"/>
    <xf numFmtId="0" fontId="10" fillId="0" borderId="0" xfId="0" applyFont="1"/>
    <xf numFmtId="0" fontId="6" fillId="0" borderId="0" xfId="0" applyFont="1" applyAlignment="1">
      <alignment horizontal="left"/>
    </xf>
    <xf numFmtId="0" fontId="6" fillId="0" borderId="0" xfId="0" applyFont="1" applyAlignment="1">
      <alignment horizontal="center" vertical="center"/>
    </xf>
    <xf numFmtId="0" fontId="6" fillId="0" borderId="9" xfId="0" applyFont="1" applyBorder="1" applyAlignment="1">
      <alignment horizontal="center" vertical="center"/>
    </xf>
    <xf numFmtId="0" fontId="6" fillId="0" borderId="0" xfId="0" applyFont="1" applyAlignment="1">
      <alignment vertical="center"/>
    </xf>
    <xf numFmtId="0" fontId="6" fillId="0" borderId="0" xfId="0" applyFont="1" applyAlignment="1">
      <alignment horizontal="left" vertical="center"/>
    </xf>
    <xf numFmtId="0" fontId="6" fillId="0" borderId="0" xfId="0" applyFont="1" applyAlignment="1">
      <alignment horizontal="center" vertical="center" wrapText="1"/>
    </xf>
    <xf numFmtId="0" fontId="9" fillId="0" borderId="0" xfId="0" applyFont="1" applyAlignment="1">
      <alignment horizontal="left" wrapText="1"/>
    </xf>
    <xf numFmtId="0" fontId="15" fillId="0" borderId="0" xfId="1" applyFont="1" applyAlignment="1">
      <alignment horizontal="center" vertical="center" wrapText="1"/>
    </xf>
    <xf numFmtId="0" fontId="15" fillId="0" borderId="21" xfId="1" applyFont="1" applyBorder="1" applyAlignment="1">
      <alignment horizontal="center" vertical="center" wrapText="1"/>
    </xf>
    <xf numFmtId="0" fontId="15" fillId="0" borderId="22" xfId="1" applyFont="1" applyBorder="1" applyAlignment="1">
      <alignment horizontal="center" vertical="center" wrapText="1"/>
    </xf>
    <xf numFmtId="0" fontId="6" fillId="0" borderId="0" xfId="1" applyFont="1" applyAlignment="1">
      <alignment horizontal="center" vertical="center" wrapText="1"/>
    </xf>
    <xf numFmtId="0" fontId="15" fillId="0" borderId="23" xfId="1" applyFont="1" applyBorder="1" applyAlignment="1">
      <alignment horizontal="center" vertical="center" wrapText="1"/>
    </xf>
    <xf numFmtId="0" fontId="15" fillId="0" borderId="9" xfId="1" applyFont="1" applyBorder="1" applyAlignment="1">
      <alignment horizontal="center" vertical="center" wrapText="1"/>
    </xf>
    <xf numFmtId="0" fontId="6" fillId="0" borderId="22" xfId="0" applyFont="1" applyBorder="1" applyAlignment="1">
      <alignment horizontal="center" vertical="center"/>
    </xf>
    <xf numFmtId="0" fontId="15" fillId="0" borderId="24" xfId="1" applyFont="1" applyBorder="1" applyAlignment="1">
      <alignment horizontal="center" vertical="center" wrapText="1"/>
    </xf>
    <xf numFmtId="0" fontId="4" fillId="17" borderId="9" xfId="0" applyFont="1" applyFill="1" applyBorder="1" applyAlignment="1">
      <alignment horizontal="center" vertical="center" wrapText="1"/>
    </xf>
    <xf numFmtId="0" fontId="18" fillId="0" borderId="0" xfId="0" applyFont="1" applyAlignment="1">
      <alignment vertical="center"/>
    </xf>
    <xf numFmtId="0" fontId="18" fillId="0" borderId="6" xfId="0" applyFont="1" applyBorder="1" applyAlignment="1">
      <alignment vertical="center"/>
    </xf>
    <xf numFmtId="0" fontId="14" fillId="0" borderId="0" xfId="0" applyFont="1" applyAlignment="1">
      <alignment horizontal="center"/>
    </xf>
    <xf numFmtId="0" fontId="19" fillId="0" borderId="0" xfId="0" applyFont="1" applyAlignment="1">
      <alignment vertical="center"/>
    </xf>
    <xf numFmtId="0" fontId="20" fillId="16" borderId="7" xfId="0" applyFont="1" applyFill="1" applyBorder="1" applyAlignment="1">
      <alignment vertical="center"/>
    </xf>
    <xf numFmtId="0" fontId="6" fillId="0" borderId="6" xfId="0" applyFont="1" applyBorder="1" applyAlignment="1">
      <alignment horizontal="left" vertical="center" wrapText="1"/>
    </xf>
    <xf numFmtId="0" fontId="9" fillId="0" borderId="11" xfId="0" applyFont="1" applyBorder="1" applyAlignment="1">
      <alignment horizontal="left" vertical="center" wrapText="1"/>
    </xf>
    <xf numFmtId="0" fontId="9" fillId="0" borderId="9" xfId="0" applyFont="1" applyBorder="1" applyAlignment="1">
      <alignment horizontal="center" vertical="center" wrapText="1"/>
    </xf>
    <xf numFmtId="0" fontId="6" fillId="0" borderId="0" xfId="0" applyFont="1" applyAlignment="1">
      <alignment horizontal="left" vertical="center" wrapText="1"/>
    </xf>
    <xf numFmtId="0" fontId="21" fillId="0" borderId="9" xfId="0" applyFont="1" applyBorder="1" applyAlignment="1">
      <alignment horizontal="center" vertical="center" wrapText="1"/>
    </xf>
    <xf numFmtId="0" fontId="18" fillId="15" borderId="0" xfId="0" applyFont="1" applyFill="1" applyAlignment="1">
      <alignment horizontal="center" vertical="center" wrapText="1"/>
    </xf>
    <xf numFmtId="0" fontId="18" fillId="15" borderId="18" xfId="0" applyFont="1" applyFill="1" applyBorder="1" applyAlignment="1">
      <alignment horizontal="center" vertical="center" wrapText="1"/>
    </xf>
    <xf numFmtId="0" fontId="18" fillId="15" borderId="14" xfId="0" applyFont="1" applyFill="1" applyBorder="1" applyAlignment="1">
      <alignment horizontal="center" vertical="center" wrapText="1"/>
    </xf>
    <xf numFmtId="0" fontId="18" fillId="15" borderId="13" xfId="0" applyFont="1" applyFill="1" applyBorder="1" applyAlignment="1">
      <alignment horizontal="center" vertical="center" wrapText="1"/>
    </xf>
    <xf numFmtId="0" fontId="18" fillId="15" borderId="20" xfId="0" applyFont="1" applyFill="1" applyBorder="1" applyAlignment="1">
      <alignment horizontal="center" vertical="center" wrapText="1"/>
    </xf>
    <xf numFmtId="0" fontId="18" fillId="15" borderId="15" xfId="0" applyFont="1" applyFill="1" applyBorder="1" applyAlignment="1">
      <alignment horizontal="center" vertical="center" wrapText="1"/>
    </xf>
    <xf numFmtId="0" fontId="18" fillId="15" borderId="17" xfId="0" applyFont="1" applyFill="1" applyBorder="1" applyAlignment="1">
      <alignment horizontal="center" vertical="center" wrapText="1"/>
    </xf>
    <xf numFmtId="0" fontId="18" fillId="15" borderId="19" xfId="0" applyFont="1" applyFill="1" applyBorder="1" applyAlignment="1">
      <alignment horizontal="center" vertical="center"/>
    </xf>
    <xf numFmtId="0" fontId="6" fillId="0" borderId="0" xfId="0" applyFont="1" applyAlignment="1">
      <alignment wrapText="1"/>
    </xf>
    <xf numFmtId="0" fontId="15" fillId="18" borderId="22" xfId="1" applyFont="1" applyFill="1" applyBorder="1" applyAlignment="1">
      <alignment horizontal="center" vertical="center" wrapText="1"/>
    </xf>
    <xf numFmtId="0" fontId="22" fillId="0" borderId="9" xfId="0" applyFont="1" applyBorder="1" applyAlignment="1">
      <alignment horizontal="center" vertical="center" wrapText="1"/>
    </xf>
    <xf numFmtId="0" fontId="11" fillId="0" borderId="0" xfId="0" applyFont="1" applyAlignment="1">
      <alignment horizontal="center" vertical="center" wrapText="1"/>
    </xf>
    <xf numFmtId="0" fontId="11" fillId="0" borderId="0" xfId="0" applyFont="1" applyAlignment="1">
      <alignment horizontal="left" vertical="center" wrapText="1"/>
    </xf>
    <xf numFmtId="0" fontId="23" fillId="0" borderId="0" xfId="0" applyFont="1" applyAlignment="1">
      <alignment vertical="center" wrapText="1"/>
    </xf>
    <xf numFmtId="0" fontId="6" fillId="18" borderId="9" xfId="0" applyFont="1" applyFill="1" applyBorder="1" applyAlignment="1">
      <alignment horizontal="center" vertical="center"/>
    </xf>
    <xf numFmtId="0" fontId="9" fillId="0" borderId="10" xfId="0" applyFont="1" applyBorder="1" applyAlignment="1">
      <alignment horizontal="center" vertical="center" wrapText="1"/>
    </xf>
    <xf numFmtId="0" fontId="13" fillId="0" borderId="0" xfId="0" applyFont="1" applyAlignment="1">
      <alignment horizontal="left" vertical="center" wrapText="1"/>
    </xf>
    <xf numFmtId="0" fontId="18" fillId="0" borderId="16" xfId="0" applyFont="1" applyBorder="1" applyAlignment="1">
      <alignment vertical="center"/>
    </xf>
    <xf numFmtId="0" fontId="18" fillId="0" borderId="0" xfId="0" applyFont="1" applyAlignment="1">
      <alignment vertical="center" wrapText="1"/>
    </xf>
    <xf numFmtId="0" fontId="9" fillId="0" borderId="22" xfId="1" applyFont="1" applyBorder="1" applyAlignment="1">
      <alignment horizontal="center" vertical="center" wrapText="1"/>
    </xf>
    <xf numFmtId="0" fontId="6" fillId="0" borderId="22" xfId="1" applyFont="1" applyBorder="1" applyAlignment="1">
      <alignment horizontal="center" vertical="center" wrapText="1"/>
    </xf>
    <xf numFmtId="0" fontId="6" fillId="19" borderId="9" xfId="0" applyFont="1" applyFill="1" applyBorder="1" applyAlignment="1">
      <alignment horizontal="center" vertical="center"/>
    </xf>
    <xf numFmtId="0" fontId="6" fillId="19" borderId="9" xfId="0" applyFont="1" applyFill="1" applyBorder="1" applyAlignment="1">
      <alignment horizontal="center" vertical="center" wrapText="1"/>
    </xf>
    <xf numFmtId="0" fontId="2" fillId="7" borderId="0" xfId="0" applyFont="1" applyFill="1" applyAlignment="1">
      <alignment horizontal="center" vertical="center" wrapText="1"/>
    </xf>
    <xf numFmtId="0" fontId="3" fillId="8" borderId="25" xfId="0" applyFont="1" applyFill="1" applyBorder="1" applyAlignment="1">
      <alignment horizontal="center" vertical="center" wrapText="1"/>
    </xf>
    <xf numFmtId="0" fontId="3" fillId="9" borderId="0" xfId="0" applyFont="1" applyFill="1" applyAlignment="1">
      <alignment horizontal="center" vertical="center" wrapText="1"/>
    </xf>
    <xf numFmtId="0" fontId="14" fillId="19" borderId="9" xfId="0" applyFont="1" applyFill="1" applyBorder="1" applyAlignment="1">
      <alignment horizontal="center" vertical="center"/>
    </xf>
    <xf numFmtId="0" fontId="13" fillId="19" borderId="9" xfId="0" applyFont="1" applyFill="1" applyBorder="1" applyAlignment="1">
      <alignment horizontal="center" vertical="center" wrapText="1"/>
    </xf>
    <xf numFmtId="0" fontId="11" fillId="19" borderId="9" xfId="0" applyFont="1" applyFill="1" applyBorder="1" applyAlignment="1">
      <alignment horizontal="center" vertical="center"/>
    </xf>
    <xf numFmtId="0" fontId="6" fillId="19" borderId="9" xfId="0" applyFont="1" applyFill="1" applyBorder="1" applyAlignment="1">
      <alignment horizontal="left" vertical="center"/>
    </xf>
    <xf numFmtId="0" fontId="13" fillId="19" borderId="9" xfId="0" applyFont="1" applyFill="1" applyBorder="1" applyAlignment="1">
      <alignment horizontal="left" vertical="center" wrapText="1"/>
    </xf>
    <xf numFmtId="0" fontId="6" fillId="19" borderId="9" xfId="0" applyFont="1" applyFill="1" applyBorder="1" applyAlignment="1">
      <alignment horizontal="left" vertical="center" wrapText="1"/>
    </xf>
    <xf numFmtId="0" fontId="13" fillId="19" borderId="9" xfId="0" applyFont="1" applyFill="1" applyBorder="1" applyAlignment="1">
      <alignment vertical="center" wrapText="1"/>
    </xf>
    <xf numFmtId="0" fontId="12" fillId="19" borderId="9" xfId="0" applyFont="1" applyFill="1" applyBorder="1" applyAlignment="1">
      <alignment horizontal="center" vertical="center"/>
    </xf>
    <xf numFmtId="0" fontId="6" fillId="19" borderId="9" xfId="0" applyFont="1" applyFill="1" applyBorder="1" applyAlignment="1">
      <alignment horizontal="center" wrapText="1"/>
    </xf>
    <xf numFmtId="0" fontId="15" fillId="19" borderId="22" xfId="1" applyFont="1" applyFill="1" applyBorder="1" applyAlignment="1">
      <alignment horizontal="center" vertical="center" wrapText="1"/>
    </xf>
    <xf numFmtId="0" fontId="14" fillId="18" borderId="9" xfId="0" applyFont="1" applyFill="1" applyBorder="1" applyAlignment="1">
      <alignment horizontal="center" vertical="center"/>
    </xf>
    <xf numFmtId="0" fontId="6" fillId="0" borderId="25" xfId="0" applyFont="1" applyBorder="1" applyAlignment="1">
      <alignment horizontal="center" vertical="center"/>
    </xf>
    <xf numFmtId="0" fontId="6" fillId="19" borderId="25" xfId="0" applyFont="1" applyFill="1" applyBorder="1" applyAlignment="1">
      <alignment horizontal="center" vertical="center"/>
    </xf>
    <xf numFmtId="0" fontId="14" fillId="19" borderId="25" xfId="0" applyFont="1" applyFill="1" applyBorder="1" applyAlignment="1">
      <alignment horizontal="center" vertical="center"/>
    </xf>
    <xf numFmtId="0" fontId="13" fillId="19" borderId="25" xfId="0" applyFont="1" applyFill="1" applyBorder="1" applyAlignment="1">
      <alignment horizontal="center" vertical="center" wrapText="1"/>
    </xf>
    <xf numFmtId="0" fontId="11" fillId="19" borderId="25" xfId="0" applyFont="1" applyFill="1" applyBorder="1" applyAlignment="1">
      <alignment horizontal="center" vertical="center"/>
    </xf>
    <xf numFmtId="0" fontId="6" fillId="19" borderId="25" xfId="0" applyFont="1" applyFill="1" applyBorder="1" applyAlignment="1">
      <alignment horizontal="left" vertical="center"/>
    </xf>
    <xf numFmtId="0" fontId="14" fillId="16" borderId="9" xfId="0" applyFont="1" applyFill="1" applyBorder="1" applyAlignment="1">
      <alignment horizontal="center" vertical="center"/>
    </xf>
    <xf numFmtId="1" fontId="1" fillId="18" borderId="9" xfId="0" applyNumberFormat="1" applyFont="1" applyFill="1" applyBorder="1" applyAlignment="1">
      <alignment horizontal="center" vertical="center" wrapText="1"/>
    </xf>
    <xf numFmtId="0" fontId="4" fillId="0" borderId="0" xfId="0" applyFont="1" applyAlignment="1">
      <alignment horizontal="center" vertical="center" wrapText="1"/>
    </xf>
    <xf numFmtId="0" fontId="3" fillId="13" borderId="0" xfId="0" applyFont="1" applyFill="1" applyAlignment="1">
      <alignment horizontal="center" vertical="center" wrapText="1"/>
    </xf>
    <xf numFmtId="0" fontId="4" fillId="2" borderId="0" xfId="0" applyFont="1" applyFill="1" applyAlignment="1">
      <alignment horizontal="center" vertical="center" wrapText="1"/>
    </xf>
    <xf numFmtId="0" fontId="6" fillId="0" borderId="0" xfId="0" applyFont="1" applyAlignment="1">
      <alignment vertical="center"/>
    </xf>
    <xf numFmtId="0" fontId="5" fillId="3" borderId="0" xfId="0" applyFont="1" applyFill="1" applyAlignment="1">
      <alignment horizontal="center" vertical="center"/>
    </xf>
    <xf numFmtId="0" fontId="4" fillId="4" borderId="1" xfId="0" applyFont="1" applyFill="1" applyBorder="1" applyAlignment="1">
      <alignment horizontal="center" vertical="center"/>
    </xf>
    <xf numFmtId="0" fontId="6" fillId="0" borderId="1" xfId="0" applyFont="1" applyBorder="1" applyAlignment="1">
      <alignment vertical="center"/>
    </xf>
    <xf numFmtId="0" fontId="4" fillId="2" borderId="1" xfId="0" applyFont="1" applyFill="1" applyBorder="1" applyAlignment="1">
      <alignment horizontal="center" vertical="center" wrapText="1"/>
    </xf>
    <xf numFmtId="0" fontId="4" fillId="17" borderId="9" xfId="0" applyFont="1" applyFill="1" applyBorder="1" applyAlignment="1">
      <alignment horizontal="center" vertical="center"/>
    </xf>
    <xf numFmtId="0" fontId="26" fillId="0" borderId="0" xfId="0" applyFont="1" applyAlignment="1">
      <alignment horizontal="left" vertical="center"/>
    </xf>
  </cellXfs>
  <cellStyles count="2">
    <cellStyle name="Normal" xfId="0" builtinId="0"/>
    <cellStyle name="Normal_Sheet1" xfId="1" xr:uid="{60F7F4D8-1372-43C0-A5B4-546A5590DB4A}"/>
  </cellStyles>
  <dxfs count="0"/>
  <tableStyles count="0" defaultTableStyle="TableStyleMedium2" defaultPivotStyle="PivotStyleLight16"/>
  <colors>
    <mruColors>
      <color rgb="FFB3FFEB"/>
      <color rgb="FFBCD7F2"/>
      <color rgb="FFFEF5D2"/>
      <color rgb="FFFFB7B7"/>
      <color rgb="FF1B4D7F"/>
      <color rgb="FF2E82D6"/>
      <color rgb="FF85B6E7"/>
      <color rgb="FF5599DD"/>
      <color rgb="FF99C2EB"/>
      <color rgb="FF4992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3.xml"/><Relationship Id="rId4" Type="http://schemas.openxmlformats.org/officeDocument/2006/relationships/externalLink" Target="externalLinks/externalLink2.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S:\LTC_Program\PCH_Program\Wendy%20Berriault\Admin%20Coordinator\Annual%20Licesnsing%20Spreadsheet\LCB-SH%20PCH%20Bed%20Map%20February%202026\Site%20Responses\PCH%20BED%20MAP_LCB_WRHA_FEB%202026%20-%20Concordia%20Place.xlsx" TargetMode="External"/><Relationship Id="rId1" Type="http://schemas.openxmlformats.org/officeDocument/2006/relationships/externalLinkPath" Target="file:///S:\LTC_Program\PCH_Program\Wendy%20Berriault\Admin%20Coordinator\Annual%20Licesnsing%20Spreadsheet\LCB-SH%20PCH%20Bed%20Map%20February%202026\Site%20Responses\PCH%20BED%20MAP_LCB_WRHA_FEB%202026%20-%20Concordia%20Place.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S:\LTC_Program\PCH_Program\Wendy%20Berriault\Admin%20Coordinator\Annual%20Licesnsing%20Spreadsheet\LCB-SH%20PCH%20Bed%20Map%20February%202026\Site%20Responses\PCH%20BED%20MAP_LCB_WRHA_FEB%202026%20-%20Fred%20Douglas.xlsx" TargetMode="External"/><Relationship Id="rId1" Type="http://schemas.openxmlformats.org/officeDocument/2006/relationships/externalLinkPath" Target="file:///S:\LTC_Program\PCH_Program\Wendy%20Berriault\Admin%20Coordinator\Annual%20Licesnsing%20Spreadsheet\LCB-SH%20PCH%20Bed%20Map%20February%202026\Site%20Responses\PCH%20BED%20MAP_LCB_WRHA_FEB%202026%20-%20Fred%20Douglas.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file:///S:\LTC_Program\PCH_Program\Wendy%20Berriault\Admin%20Coordinator\Annual%20Licesnsing%20Spreadsheet\LCB-SH%20PCH%20Bed%20Map%20February%202026\Site%20Responses\Copy%20of%20Copy%20of%20Copy%20of%20PCH%20BED%20MAP_LCB_WRHA_FEB%202026%20-%20Holy%20Family%20Home%20(2).xlsx" TargetMode="External"/><Relationship Id="rId2" Type="http://schemas.microsoft.com/office/2019/04/relationships/externalLinkLongPath" Target="file:///S:\LTC_Program\PCH_Program\Wendy%20Berriault\Admin%20Coordinator\Annual%20Licesnsing%20Spreadsheet\LCB-SH%20PCH%20Bed%20Map%20February%202026\Site%20Responses\Copy%20of%20Copy%20of%20Copy%20of%20PCH%20BED%20MAP_LCB_WRHA_FEB%202026%20-%20Holy%20Family%20Home%20(2).xlsx?BFE6ED4E" TargetMode="External"/><Relationship Id="rId1" Type="http://schemas.openxmlformats.org/officeDocument/2006/relationships/externalLinkPath" Target="file:///\\BFE6ED4E\Copy%20of%20Copy%20of%20Copy%20of%20PCH%20BED%20MAP_LCB_WRHA_FEB%202026%20-%20Holy%20Family%20Home%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LCB"/>
      <sheetName val="SH"/>
    </sheetNames>
    <sheetDataSet>
      <sheetData sheetId="0"/>
      <sheetData sheetId="1">
        <row r="9">
          <cell r="C9" t="str">
            <v>Concordia Hospital</v>
          </cell>
          <cell r="D9" t="str">
            <v>Yes</v>
          </cell>
          <cell r="E9" t="str">
            <v>545KW</v>
          </cell>
          <cell r="F9" t="str">
            <v>No</v>
          </cell>
          <cell r="G9" t="str">
            <v>Located in Concordia Hospital Mezzanine, feeds emergency panels in CP supporting critical infrastructure and basic lighting. Note, the generator supports both CP and CH N1</v>
          </cell>
          <cell r="H9" t="str">
            <v>All heat is provided by Concordia Hospital steam boiler system. The boilers can run on fuel oil or natural gas.</v>
          </cell>
          <cell r="I9" t="str">
            <v>YES</v>
          </cell>
          <cell r="J9" t="str">
            <v>204-661-7372</v>
          </cell>
          <cell r="K9" t="str">
            <v>No</v>
          </cell>
          <cell r="L9" t="str">
            <v>Shift Engineers and Security hold 2-way radios.</v>
          </cell>
          <cell r="M9" t="str">
            <v>Kyla Gilmour, Director Health Services</v>
          </cell>
          <cell r="N9" t="str">
            <v>4 (excluding basement floor)</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LCB"/>
      <sheetName val="SH"/>
    </sheetNames>
    <sheetDataSet>
      <sheetData sheetId="0"/>
      <sheetData sheetId="1">
        <row r="14">
          <cell r="B14" t="str">
            <v>Yes</v>
          </cell>
          <cell r="C14" t="str">
            <v>Apartment Block</v>
          </cell>
          <cell r="D14" t="str">
            <v>Yes, for partial services</v>
          </cell>
          <cell r="E14" t="str">
            <v>150 Kw</v>
          </cell>
          <cell r="F14" t="str">
            <v>PCH only</v>
          </cell>
          <cell r="G14" t="str">
            <v>N/A</v>
          </cell>
          <cell r="H14" t="str">
            <v>No alternative</v>
          </cell>
          <cell r="I14" t="str">
            <v>N (PFLS underway to be completed at end 2028)</v>
          </cell>
          <cell r="J14" t="str">
            <v>204-586-8541</v>
          </cell>
          <cell r="K14" t="str">
            <v>Yes</v>
          </cell>
          <cell r="L14" t="str">
            <v>Two way radios</v>
          </cell>
          <cell r="M14" t="str">
            <v>Greg Reid, Chief Executive Officer</v>
          </cell>
          <cell r="N14" t="str">
            <v>2 (part of the facility)</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LCB"/>
      <sheetName val="SH"/>
    </sheetNames>
    <sheetDataSet>
      <sheetData sheetId="0" refreshError="1"/>
      <sheetData sheetId="1">
        <row r="19">
          <cell r="B19" t="str">
            <v>yes - EPH</v>
          </cell>
          <cell r="C19" t="str">
            <v>Holy Family Home Tower (EPH)</v>
          </cell>
          <cell r="D19" t="str">
            <v>Yes</v>
          </cell>
          <cell r="E19" t="str">
            <v>600KW</v>
          </cell>
          <cell r="F19" t="str">
            <v xml:space="preserve">essential services </v>
          </cell>
          <cell r="G19" t="str">
            <v>limited generator power in building B</v>
          </cell>
          <cell r="I19" t="str">
            <v>N</v>
          </cell>
          <cell r="J19" t="str">
            <v>204-589-7381</v>
          </cell>
          <cell r="K19" t="str">
            <v>yes</v>
          </cell>
          <cell r="L19" t="str">
            <v>cell phone</v>
          </cell>
          <cell r="M19" t="str">
            <v>Angela Peeler, CEO</v>
          </cell>
          <cell r="N19">
            <v>5</v>
          </cell>
          <cell r="O19" t="str">
            <v xml:space="preserve">3 buildings in total </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F04B0-AB83-A742-961B-465049092045}">
  <dimension ref="A1:Y167"/>
  <sheetViews>
    <sheetView tabSelected="1" topLeftCell="A36" zoomScale="80" zoomScaleNormal="80" workbookViewId="0">
      <pane xSplit="1" topLeftCell="B1" activePane="topRight" state="frozen"/>
      <selection activeCell="A12" sqref="A12"/>
      <selection pane="topRight" activeCell="A47" sqref="A47:C47"/>
    </sheetView>
  </sheetViews>
  <sheetFormatPr defaultColWidth="8.7265625" defaultRowHeight="14" x14ac:dyDescent="0.3"/>
  <cols>
    <col min="1" max="1" width="43.7265625" style="17" customWidth="1"/>
    <col min="2" max="2" width="38.1796875" style="17" customWidth="1"/>
    <col min="3" max="3" width="45.26953125" style="17" customWidth="1"/>
    <col min="4" max="4" width="23.26953125" style="17" customWidth="1"/>
    <col min="5" max="5" width="51.26953125" style="17" customWidth="1"/>
    <col min="6" max="7" width="17.453125" style="17" customWidth="1"/>
    <col min="8" max="8" width="20.26953125" style="17" customWidth="1"/>
    <col min="9" max="10" width="18" style="17" customWidth="1"/>
    <col min="11" max="11" width="24.7265625" style="17" customWidth="1"/>
    <col min="12" max="12" width="22.7265625" style="17" customWidth="1"/>
    <col min="13" max="13" width="19.26953125" style="17" customWidth="1"/>
    <col min="14" max="14" width="24.26953125" style="17" customWidth="1"/>
    <col min="15" max="15" width="23.7265625" style="17" customWidth="1"/>
    <col min="16" max="16" width="26.7265625" style="17" customWidth="1"/>
    <col min="17" max="17" width="35.453125" style="17" customWidth="1"/>
    <col min="18" max="18" width="20.26953125" style="17" customWidth="1"/>
    <col min="19" max="19" width="16.453125" style="17" customWidth="1"/>
    <col min="20" max="20" width="20.453125" style="17" customWidth="1"/>
    <col min="21" max="22" width="24" style="17" customWidth="1"/>
    <col min="23" max="23" width="26.26953125" style="17" customWidth="1"/>
    <col min="24" max="24" width="34.453125" style="17" customWidth="1"/>
    <col min="25" max="16384" width="8.7265625" style="17"/>
  </cols>
  <sheetData>
    <row r="1" spans="1:25" ht="50.65" customHeight="1" x14ac:dyDescent="0.3">
      <c r="A1" s="27"/>
      <c r="B1" s="27"/>
      <c r="C1" s="27"/>
      <c r="D1" s="27"/>
      <c r="E1" s="27"/>
      <c r="F1" s="27"/>
      <c r="G1" s="27"/>
      <c r="H1" s="27"/>
      <c r="I1" s="27"/>
      <c r="J1" s="27"/>
      <c r="K1" s="27"/>
      <c r="L1" s="27"/>
      <c r="M1" s="27"/>
      <c r="N1" s="27"/>
      <c r="O1" s="27"/>
      <c r="P1" s="27"/>
      <c r="Q1" s="27"/>
      <c r="R1" s="97" t="s">
        <v>22</v>
      </c>
      <c r="S1" s="98"/>
      <c r="T1" s="98"/>
      <c r="U1" s="27"/>
      <c r="V1" s="27"/>
      <c r="W1" s="27"/>
      <c r="X1" s="27"/>
    </row>
    <row r="2" spans="1:25" ht="36" x14ac:dyDescent="0.3">
      <c r="A2" s="27"/>
      <c r="B2" s="99" t="s">
        <v>3</v>
      </c>
      <c r="C2" s="98"/>
      <c r="D2" s="27"/>
      <c r="E2" s="27"/>
      <c r="F2" s="27"/>
      <c r="G2" s="27"/>
      <c r="H2" s="39" t="s">
        <v>155</v>
      </c>
      <c r="I2" s="103" t="s">
        <v>156</v>
      </c>
      <c r="J2" s="103"/>
      <c r="L2" s="27"/>
      <c r="M2" s="27"/>
      <c r="N2" s="27"/>
      <c r="O2" s="100" t="s">
        <v>5</v>
      </c>
      <c r="P2" s="101"/>
      <c r="Q2" s="101"/>
      <c r="R2" s="3" t="s">
        <v>23</v>
      </c>
      <c r="S2" s="102" t="s">
        <v>1</v>
      </c>
      <c r="T2" s="101"/>
      <c r="U2" s="2"/>
      <c r="V2" s="95"/>
      <c r="W2" s="27"/>
      <c r="X2" s="27"/>
    </row>
    <row r="3" spans="1:25" s="1" customFormat="1" ht="46.5" x14ac:dyDescent="0.35">
      <c r="A3" s="4" t="s">
        <v>38</v>
      </c>
      <c r="B3" s="5" t="s">
        <v>17</v>
      </c>
      <c r="C3" s="5" t="s">
        <v>18</v>
      </c>
      <c r="D3" s="6" t="s">
        <v>20</v>
      </c>
      <c r="E3" s="6" t="s">
        <v>21</v>
      </c>
      <c r="F3" s="7" t="s">
        <v>27</v>
      </c>
      <c r="G3" s="7" t="s">
        <v>28</v>
      </c>
      <c r="H3" s="73" t="s">
        <v>157</v>
      </c>
      <c r="I3" s="74" t="s">
        <v>158</v>
      </c>
      <c r="J3" s="74" t="s">
        <v>159</v>
      </c>
      <c r="K3" s="75" t="s">
        <v>160</v>
      </c>
      <c r="L3" s="8" t="s">
        <v>6</v>
      </c>
      <c r="M3" s="9" t="s">
        <v>4</v>
      </c>
      <c r="N3" s="10" t="s">
        <v>29</v>
      </c>
      <c r="O3" s="11" t="s">
        <v>30</v>
      </c>
      <c r="P3" s="11" t="s">
        <v>31</v>
      </c>
      <c r="Q3" s="11" t="s">
        <v>32</v>
      </c>
      <c r="R3" s="12" t="s">
        <v>24</v>
      </c>
      <c r="S3" s="13" t="s">
        <v>2</v>
      </c>
      <c r="T3" s="14" t="s">
        <v>19</v>
      </c>
      <c r="U3" s="15" t="s">
        <v>0</v>
      </c>
      <c r="V3" s="96" t="s">
        <v>394</v>
      </c>
      <c r="W3" s="16" t="s">
        <v>26</v>
      </c>
      <c r="X3" s="1" t="s">
        <v>33</v>
      </c>
    </row>
    <row r="4" spans="1:25" ht="37.15" customHeight="1" x14ac:dyDescent="0.3">
      <c r="A4" s="40" t="s">
        <v>39</v>
      </c>
      <c r="B4" s="28"/>
      <c r="C4" s="31" t="s">
        <v>67</v>
      </c>
      <c r="D4" s="26" t="s">
        <v>118</v>
      </c>
      <c r="E4" s="32" t="s">
        <v>39</v>
      </c>
      <c r="F4" s="25" t="s">
        <v>104</v>
      </c>
      <c r="G4" s="25" t="s">
        <v>105</v>
      </c>
      <c r="H4" s="71" t="s">
        <v>105</v>
      </c>
      <c r="I4" s="71" t="s">
        <v>105</v>
      </c>
      <c r="J4" s="76" t="s">
        <v>104</v>
      </c>
      <c r="K4" s="77" t="s">
        <v>161</v>
      </c>
      <c r="L4" s="78">
        <v>204</v>
      </c>
      <c r="M4" s="71">
        <v>0</v>
      </c>
      <c r="N4" s="71"/>
      <c r="O4" s="71" t="s">
        <v>366</v>
      </c>
      <c r="P4" s="72" t="s">
        <v>367</v>
      </c>
      <c r="Q4" s="71"/>
      <c r="R4" s="71">
        <f t="shared" ref="R4:R40" si="0">ABS(U4-(S4*2+T4*3))</f>
        <v>287</v>
      </c>
      <c r="S4" s="71">
        <v>6</v>
      </c>
      <c r="T4" s="71">
        <v>0</v>
      </c>
      <c r="U4" s="71">
        <v>299</v>
      </c>
      <c r="V4" s="71">
        <v>299</v>
      </c>
      <c r="W4" s="79"/>
      <c r="X4" s="80" t="s">
        <v>365</v>
      </c>
      <c r="Y4" s="24"/>
    </row>
    <row r="5" spans="1:25" ht="15.5" x14ac:dyDescent="0.3">
      <c r="A5" s="40" t="s">
        <v>41</v>
      </c>
      <c r="B5" s="28"/>
      <c r="C5" s="31" t="s">
        <v>69</v>
      </c>
      <c r="D5" s="26" t="s">
        <v>118</v>
      </c>
      <c r="E5" s="33" t="s">
        <v>41</v>
      </c>
      <c r="F5" s="25" t="s">
        <v>105</v>
      </c>
      <c r="G5" s="25" t="s">
        <v>104</v>
      </c>
      <c r="H5" s="71" t="s">
        <v>105</v>
      </c>
      <c r="I5" s="71" t="s">
        <v>105</v>
      </c>
      <c r="J5" s="76" t="s">
        <v>104</v>
      </c>
      <c r="K5" s="77" t="s">
        <v>161</v>
      </c>
      <c r="L5" s="78">
        <v>154</v>
      </c>
      <c r="M5" s="71">
        <v>0</v>
      </c>
      <c r="N5" s="71"/>
      <c r="O5" s="71"/>
      <c r="P5" s="71"/>
      <c r="Q5" s="71"/>
      <c r="R5" s="71">
        <f t="shared" si="0"/>
        <v>154</v>
      </c>
      <c r="S5" s="71">
        <v>0</v>
      </c>
      <c r="T5" s="71">
        <v>0</v>
      </c>
      <c r="U5" s="71">
        <f t="shared" ref="U5:U40" si="1">SUM(L5:Q5) - N5</f>
        <v>154</v>
      </c>
      <c r="V5" s="71">
        <v>154</v>
      </c>
      <c r="W5" s="79"/>
      <c r="X5" s="79"/>
      <c r="Y5" s="24"/>
    </row>
    <row r="6" spans="1:25" ht="16.149999999999999" customHeight="1" x14ac:dyDescent="0.3">
      <c r="A6" s="40" t="s">
        <v>40</v>
      </c>
      <c r="B6" s="28"/>
      <c r="C6" s="31" t="s">
        <v>68</v>
      </c>
      <c r="D6" s="26" t="s">
        <v>118</v>
      </c>
      <c r="E6" s="33" t="s">
        <v>40</v>
      </c>
      <c r="F6" s="25" t="s">
        <v>105</v>
      </c>
      <c r="G6" s="25" t="s">
        <v>105</v>
      </c>
      <c r="H6" s="71" t="s">
        <v>105</v>
      </c>
      <c r="I6" s="71" t="s">
        <v>105</v>
      </c>
      <c r="J6" s="76" t="s">
        <v>104</v>
      </c>
      <c r="K6" s="77" t="s">
        <v>161</v>
      </c>
      <c r="L6" s="78">
        <v>100</v>
      </c>
      <c r="M6" s="71">
        <v>0</v>
      </c>
      <c r="N6" s="71"/>
      <c r="O6" s="71"/>
      <c r="P6" s="71"/>
      <c r="Q6" s="71"/>
      <c r="R6" s="71">
        <f t="shared" si="0"/>
        <v>100</v>
      </c>
      <c r="S6" s="71">
        <v>0</v>
      </c>
      <c r="T6" s="71">
        <v>0</v>
      </c>
      <c r="U6" s="71">
        <f t="shared" si="1"/>
        <v>100</v>
      </c>
      <c r="V6" s="71">
        <v>100</v>
      </c>
      <c r="W6" s="79"/>
      <c r="X6" s="79"/>
      <c r="Y6" s="24"/>
    </row>
    <row r="7" spans="1:25" ht="15.5" x14ac:dyDescent="0.3">
      <c r="A7" s="40" t="s">
        <v>140</v>
      </c>
      <c r="B7" s="28"/>
      <c r="C7" s="31" t="s">
        <v>71</v>
      </c>
      <c r="D7" s="26" t="s">
        <v>118</v>
      </c>
      <c r="E7" s="33" t="s">
        <v>119</v>
      </c>
      <c r="F7" s="25" t="s">
        <v>105</v>
      </c>
      <c r="G7" s="25" t="s">
        <v>105</v>
      </c>
      <c r="H7" s="71" t="s">
        <v>105</v>
      </c>
      <c r="I7" s="71" t="s">
        <v>105</v>
      </c>
      <c r="J7" s="76" t="s">
        <v>104</v>
      </c>
      <c r="K7" s="77" t="s">
        <v>161</v>
      </c>
      <c r="L7" s="78">
        <v>148</v>
      </c>
      <c r="M7" s="71">
        <v>0</v>
      </c>
      <c r="N7" s="71"/>
      <c r="O7" s="71"/>
      <c r="P7" s="71"/>
      <c r="Q7" s="71"/>
      <c r="R7" s="71">
        <f t="shared" si="0"/>
        <v>148</v>
      </c>
      <c r="S7" s="71">
        <v>0</v>
      </c>
      <c r="T7" s="71">
        <v>0</v>
      </c>
      <c r="U7" s="71">
        <f t="shared" si="1"/>
        <v>148</v>
      </c>
      <c r="V7" s="71">
        <v>148</v>
      </c>
      <c r="W7" s="79"/>
      <c r="X7" s="79"/>
      <c r="Y7" s="24"/>
    </row>
    <row r="8" spans="1:25" ht="18.649999999999999" customHeight="1" x14ac:dyDescent="0.3">
      <c r="A8" s="40" t="s">
        <v>141</v>
      </c>
      <c r="B8" s="28"/>
      <c r="C8" s="31" t="s">
        <v>72</v>
      </c>
      <c r="D8" s="26" t="s">
        <v>118</v>
      </c>
      <c r="E8" s="33" t="s">
        <v>120</v>
      </c>
      <c r="F8" s="25" t="s">
        <v>105</v>
      </c>
      <c r="G8" s="25" t="s">
        <v>105</v>
      </c>
      <c r="H8" s="71" t="s">
        <v>105</v>
      </c>
      <c r="I8" s="71" t="s">
        <v>105</v>
      </c>
      <c r="J8" s="76" t="s">
        <v>104</v>
      </c>
      <c r="K8" s="77" t="s">
        <v>161</v>
      </c>
      <c r="L8" s="78">
        <v>100</v>
      </c>
      <c r="M8" s="71">
        <v>0</v>
      </c>
      <c r="N8" s="71"/>
      <c r="O8" s="71"/>
      <c r="P8" s="71"/>
      <c r="Q8" s="71"/>
      <c r="R8" s="71">
        <f t="shared" si="0"/>
        <v>100</v>
      </c>
      <c r="S8" s="71">
        <v>0</v>
      </c>
      <c r="T8" s="71">
        <v>0</v>
      </c>
      <c r="U8" s="71">
        <f t="shared" si="1"/>
        <v>100</v>
      </c>
      <c r="V8" s="71">
        <v>100</v>
      </c>
      <c r="W8" s="79"/>
      <c r="X8" s="79"/>
      <c r="Y8" s="24"/>
    </row>
    <row r="9" spans="1:25" ht="28" x14ac:dyDescent="0.3">
      <c r="A9" s="40" t="s">
        <v>44</v>
      </c>
      <c r="B9" s="28"/>
      <c r="C9" s="31" t="s">
        <v>74</v>
      </c>
      <c r="D9" s="26" t="s">
        <v>118</v>
      </c>
      <c r="E9" s="33" t="s">
        <v>121</v>
      </c>
      <c r="F9" s="25" t="s">
        <v>105</v>
      </c>
      <c r="G9" s="25" t="s">
        <v>105</v>
      </c>
      <c r="H9" s="71" t="s">
        <v>105</v>
      </c>
      <c r="I9" s="71" t="s">
        <v>105</v>
      </c>
      <c r="J9" s="76" t="s">
        <v>104</v>
      </c>
      <c r="K9" s="77" t="s">
        <v>162</v>
      </c>
      <c r="L9" s="78">
        <v>140</v>
      </c>
      <c r="M9" s="71">
        <v>0</v>
      </c>
      <c r="N9" s="71"/>
      <c r="O9" s="71"/>
      <c r="P9" s="71"/>
      <c r="Q9" s="71"/>
      <c r="R9" s="71">
        <f t="shared" si="0"/>
        <v>140</v>
      </c>
      <c r="S9" s="71">
        <v>0</v>
      </c>
      <c r="T9" s="71">
        <v>0</v>
      </c>
      <c r="U9" s="71">
        <v>140</v>
      </c>
      <c r="V9" s="71">
        <v>140</v>
      </c>
      <c r="W9" s="79"/>
      <c r="X9" s="81" t="s">
        <v>352</v>
      </c>
      <c r="Y9" s="24"/>
    </row>
    <row r="10" spans="1:25" ht="28" x14ac:dyDescent="0.3">
      <c r="A10" s="40" t="s">
        <v>45</v>
      </c>
      <c r="B10" s="28"/>
      <c r="C10" s="31" t="s">
        <v>75</v>
      </c>
      <c r="D10" s="26" t="s">
        <v>118</v>
      </c>
      <c r="E10" s="33" t="s">
        <v>122</v>
      </c>
      <c r="F10" s="25" t="s">
        <v>105</v>
      </c>
      <c r="G10" s="25" t="s">
        <v>105</v>
      </c>
      <c r="H10" s="71" t="s">
        <v>105</v>
      </c>
      <c r="I10" s="76" t="s">
        <v>104</v>
      </c>
      <c r="J10" s="71" t="s">
        <v>105</v>
      </c>
      <c r="K10" s="77" t="s">
        <v>162</v>
      </c>
      <c r="L10" s="71">
        <v>95</v>
      </c>
      <c r="M10" s="71">
        <v>0</v>
      </c>
      <c r="N10" s="71">
        <v>66</v>
      </c>
      <c r="O10" s="71" t="s">
        <v>363</v>
      </c>
      <c r="P10" s="72" t="s">
        <v>364</v>
      </c>
      <c r="Q10" s="71"/>
      <c r="R10" s="71">
        <f t="shared" si="0"/>
        <v>196</v>
      </c>
      <c r="S10" s="71">
        <v>6</v>
      </c>
      <c r="T10" s="71">
        <v>0</v>
      </c>
      <c r="U10" s="64">
        <v>208</v>
      </c>
      <c r="V10" s="64">
        <v>208</v>
      </c>
      <c r="W10" s="79"/>
      <c r="X10" s="82" t="s">
        <v>353</v>
      </c>
      <c r="Y10" s="24"/>
    </row>
    <row r="11" spans="1:25" ht="21.75" customHeight="1" x14ac:dyDescent="0.3">
      <c r="A11" s="40" t="s">
        <v>143</v>
      </c>
      <c r="B11" s="28"/>
      <c r="C11" s="31" t="s">
        <v>76</v>
      </c>
      <c r="D11" s="26" t="s">
        <v>118</v>
      </c>
      <c r="E11" s="33" t="s">
        <v>123</v>
      </c>
      <c r="F11" s="25" t="s">
        <v>105</v>
      </c>
      <c r="G11" s="25" t="s">
        <v>105</v>
      </c>
      <c r="H11" s="71" t="s">
        <v>105</v>
      </c>
      <c r="I11" s="71" t="s">
        <v>105</v>
      </c>
      <c r="J11" s="76" t="s">
        <v>104</v>
      </c>
      <c r="K11" s="77" t="s">
        <v>161</v>
      </c>
      <c r="L11" s="78">
        <v>121</v>
      </c>
      <c r="M11" s="71">
        <v>0</v>
      </c>
      <c r="N11" s="71"/>
      <c r="O11" s="71"/>
      <c r="P11" s="71"/>
      <c r="Q11" s="71"/>
      <c r="R11" s="71">
        <f t="shared" si="0"/>
        <v>103</v>
      </c>
      <c r="S11" s="71">
        <v>9</v>
      </c>
      <c r="T11" s="71">
        <v>0</v>
      </c>
      <c r="U11" s="71">
        <f t="shared" si="1"/>
        <v>121</v>
      </c>
      <c r="V11" s="71">
        <v>121</v>
      </c>
      <c r="W11" s="79"/>
      <c r="X11" s="79"/>
      <c r="Y11" s="24"/>
    </row>
    <row r="12" spans="1:25" ht="37.5" x14ac:dyDescent="0.3">
      <c r="A12" s="40" t="s">
        <v>139</v>
      </c>
      <c r="B12" s="28"/>
      <c r="C12" s="31" t="s">
        <v>70</v>
      </c>
      <c r="D12" s="26" t="s">
        <v>118</v>
      </c>
      <c r="E12" s="69" t="s">
        <v>329</v>
      </c>
      <c r="F12" s="25" t="s">
        <v>105</v>
      </c>
      <c r="G12" s="25" t="s">
        <v>105</v>
      </c>
      <c r="H12" s="76" t="s">
        <v>104</v>
      </c>
      <c r="I12" s="71" t="s">
        <v>105</v>
      </c>
      <c r="J12" s="71" t="s">
        <v>105</v>
      </c>
      <c r="K12" s="77" t="s">
        <v>162</v>
      </c>
      <c r="L12" s="78">
        <v>175</v>
      </c>
      <c r="M12" s="71">
        <v>0</v>
      </c>
      <c r="N12" s="71"/>
      <c r="O12" s="71"/>
      <c r="P12" s="71"/>
      <c r="Q12" s="71"/>
      <c r="R12" s="71">
        <f t="shared" si="0"/>
        <v>119</v>
      </c>
      <c r="S12" s="71">
        <v>28</v>
      </c>
      <c r="T12" s="71">
        <v>0</v>
      </c>
      <c r="U12" s="71">
        <f t="shared" si="1"/>
        <v>175</v>
      </c>
      <c r="V12" s="71">
        <v>175</v>
      </c>
      <c r="W12" s="79"/>
      <c r="X12" s="79"/>
      <c r="Y12" s="24"/>
    </row>
    <row r="13" spans="1:25" ht="70" x14ac:dyDescent="0.3">
      <c r="A13" s="40" t="s">
        <v>142</v>
      </c>
      <c r="B13" s="28"/>
      <c r="C13" s="31" t="s">
        <v>73</v>
      </c>
      <c r="D13" s="26" t="s">
        <v>118</v>
      </c>
      <c r="E13" s="69" t="s">
        <v>329</v>
      </c>
      <c r="F13" s="25" t="s">
        <v>105</v>
      </c>
      <c r="G13" s="25" t="s">
        <v>105</v>
      </c>
      <c r="H13" s="76" t="s">
        <v>104</v>
      </c>
      <c r="I13" s="71" t="s">
        <v>105</v>
      </c>
      <c r="J13" s="71" t="s">
        <v>105</v>
      </c>
      <c r="K13" s="77" t="s">
        <v>162</v>
      </c>
      <c r="L13" s="78">
        <v>124</v>
      </c>
      <c r="M13" s="71">
        <v>0</v>
      </c>
      <c r="N13" s="71"/>
      <c r="O13" s="64" t="s">
        <v>152</v>
      </c>
      <c r="Q13" s="71"/>
      <c r="R13" s="71">
        <v>20</v>
      </c>
      <c r="S13" s="71">
        <v>60</v>
      </c>
      <c r="T13" s="71">
        <v>0</v>
      </c>
      <c r="U13" s="64">
        <v>155</v>
      </c>
      <c r="V13" s="64">
        <v>140</v>
      </c>
      <c r="W13" s="79"/>
      <c r="X13" s="81" t="s">
        <v>369</v>
      </c>
      <c r="Y13" s="24"/>
    </row>
    <row r="14" spans="1:25" ht="37.5" x14ac:dyDescent="0.3">
      <c r="A14" s="40" t="s">
        <v>144</v>
      </c>
      <c r="B14" s="28"/>
      <c r="C14" s="31" t="s">
        <v>83</v>
      </c>
      <c r="D14" s="26" t="s">
        <v>118</v>
      </c>
      <c r="E14" s="69" t="s">
        <v>329</v>
      </c>
      <c r="F14" s="25" t="s">
        <v>105</v>
      </c>
      <c r="G14" s="25" t="s">
        <v>105</v>
      </c>
      <c r="H14" s="76" t="s">
        <v>104</v>
      </c>
      <c r="I14" s="71" t="s">
        <v>105</v>
      </c>
      <c r="J14" s="71" t="s">
        <v>105</v>
      </c>
      <c r="K14" s="77" t="s">
        <v>162</v>
      </c>
      <c r="L14" s="78">
        <v>86</v>
      </c>
      <c r="M14" s="71">
        <v>0</v>
      </c>
      <c r="N14" s="71"/>
      <c r="O14" s="71"/>
      <c r="P14" s="71"/>
      <c r="Q14" s="71"/>
      <c r="R14" s="71">
        <v>22</v>
      </c>
      <c r="S14" s="71">
        <v>26</v>
      </c>
      <c r="T14" s="71">
        <v>3</v>
      </c>
      <c r="U14" s="71">
        <v>86</v>
      </c>
      <c r="V14" s="71">
        <v>86</v>
      </c>
      <c r="W14" s="79"/>
      <c r="X14" s="81" t="s">
        <v>354</v>
      </c>
      <c r="Y14" s="24"/>
    </row>
    <row r="15" spans="1:25" ht="39.75" customHeight="1" x14ac:dyDescent="0.3">
      <c r="A15" s="40" t="s">
        <v>145</v>
      </c>
      <c r="B15" s="28"/>
      <c r="C15" s="31" t="s">
        <v>85</v>
      </c>
      <c r="D15" s="26" t="s">
        <v>118</v>
      </c>
      <c r="E15" s="69" t="s">
        <v>329</v>
      </c>
      <c r="F15" s="25" t="s">
        <v>105</v>
      </c>
      <c r="G15" s="25" t="s">
        <v>105</v>
      </c>
      <c r="H15" s="76" t="s">
        <v>104</v>
      </c>
      <c r="I15" s="71" t="s">
        <v>105</v>
      </c>
      <c r="J15" s="71" t="s">
        <v>105</v>
      </c>
      <c r="K15" s="77" t="s">
        <v>162</v>
      </c>
      <c r="L15" s="78">
        <v>120</v>
      </c>
      <c r="M15" s="71">
        <v>0</v>
      </c>
      <c r="N15" s="71"/>
      <c r="O15" s="71"/>
      <c r="P15" s="71"/>
      <c r="Q15" s="71"/>
      <c r="R15" s="71">
        <f t="shared" si="0"/>
        <v>120</v>
      </c>
      <c r="S15" s="71">
        <v>0</v>
      </c>
      <c r="T15" s="71">
        <v>0</v>
      </c>
      <c r="U15" s="71">
        <f t="shared" si="1"/>
        <v>120</v>
      </c>
      <c r="V15" s="71">
        <v>120</v>
      </c>
      <c r="W15" s="79"/>
      <c r="X15" s="79"/>
      <c r="Y15" s="24"/>
    </row>
    <row r="16" spans="1:25" ht="36" customHeight="1" x14ac:dyDescent="0.3">
      <c r="A16" s="40" t="s">
        <v>153</v>
      </c>
      <c r="B16" s="28"/>
      <c r="C16" s="31" t="s">
        <v>88</v>
      </c>
      <c r="D16" s="26" t="s">
        <v>118</v>
      </c>
      <c r="E16" s="69" t="s">
        <v>329</v>
      </c>
      <c r="F16" s="25" t="s">
        <v>105</v>
      </c>
      <c r="G16" s="25" t="s">
        <v>105</v>
      </c>
      <c r="H16" s="76" t="s">
        <v>104</v>
      </c>
      <c r="I16" s="71" t="s">
        <v>105</v>
      </c>
      <c r="J16" s="71" t="s">
        <v>105</v>
      </c>
      <c r="K16" s="77" t="s">
        <v>162</v>
      </c>
      <c r="L16" s="78">
        <v>200</v>
      </c>
      <c r="M16" s="71">
        <v>0</v>
      </c>
      <c r="N16" s="71"/>
      <c r="O16" s="71"/>
      <c r="P16" s="71"/>
      <c r="Q16" s="71"/>
      <c r="R16" s="71">
        <f t="shared" si="0"/>
        <v>200</v>
      </c>
      <c r="S16" s="71">
        <v>0</v>
      </c>
      <c r="T16" s="71">
        <v>0</v>
      </c>
      <c r="U16" s="71">
        <f t="shared" si="1"/>
        <v>200</v>
      </c>
      <c r="V16" s="71">
        <v>200</v>
      </c>
      <c r="W16" s="79"/>
      <c r="X16" s="79"/>
      <c r="Y16" s="24"/>
    </row>
    <row r="17" spans="1:25" ht="24.65" customHeight="1" x14ac:dyDescent="0.3">
      <c r="A17" s="40" t="s">
        <v>46</v>
      </c>
      <c r="B17" s="28"/>
      <c r="C17" s="31" t="s">
        <v>77</v>
      </c>
      <c r="D17" s="26" t="s">
        <v>118</v>
      </c>
      <c r="E17" s="33" t="s">
        <v>330</v>
      </c>
      <c r="F17" s="25" t="s">
        <v>105</v>
      </c>
      <c r="G17" s="25" t="s">
        <v>105</v>
      </c>
      <c r="H17" s="76" t="s">
        <v>104</v>
      </c>
      <c r="I17" s="71" t="s">
        <v>105</v>
      </c>
      <c r="J17" s="71" t="s">
        <v>105</v>
      </c>
      <c r="K17" s="77" t="s">
        <v>162</v>
      </c>
      <c r="L17" s="78">
        <v>245</v>
      </c>
      <c r="M17" s="71">
        <v>0</v>
      </c>
      <c r="N17" s="71"/>
      <c r="O17" s="71"/>
      <c r="P17" s="71"/>
      <c r="Q17" s="71"/>
      <c r="R17" s="71">
        <f t="shared" si="0"/>
        <v>39</v>
      </c>
      <c r="S17" s="71">
        <v>103</v>
      </c>
      <c r="T17" s="71">
        <v>0</v>
      </c>
      <c r="U17" s="71">
        <f t="shared" si="1"/>
        <v>245</v>
      </c>
      <c r="V17" s="71">
        <v>245</v>
      </c>
      <c r="W17" s="79"/>
      <c r="X17" s="79"/>
      <c r="Y17" s="24"/>
    </row>
    <row r="18" spans="1:25" ht="70" x14ac:dyDescent="0.3">
      <c r="A18" s="40" t="s">
        <v>148</v>
      </c>
      <c r="B18" s="28"/>
      <c r="C18" s="34" t="s">
        <v>93</v>
      </c>
      <c r="D18" s="26" t="s">
        <v>118</v>
      </c>
      <c r="E18" s="70" t="s">
        <v>330</v>
      </c>
      <c r="F18" s="25" t="s">
        <v>105</v>
      </c>
      <c r="G18" s="25" t="s">
        <v>105</v>
      </c>
      <c r="H18" s="76" t="s">
        <v>104</v>
      </c>
      <c r="I18" s="71" t="s">
        <v>105</v>
      </c>
      <c r="J18" s="71" t="s">
        <v>105</v>
      </c>
      <c r="K18" s="77" t="s">
        <v>162</v>
      </c>
      <c r="L18" s="71">
        <v>200</v>
      </c>
      <c r="M18" s="71">
        <v>0</v>
      </c>
      <c r="N18" s="71"/>
      <c r="O18" s="71"/>
      <c r="P18" s="72" t="s">
        <v>356</v>
      </c>
      <c r="Q18" s="71"/>
      <c r="R18" s="71">
        <v>69</v>
      </c>
      <c r="S18" s="71">
        <v>71</v>
      </c>
      <c r="T18" s="71">
        <v>0</v>
      </c>
      <c r="U18" s="71">
        <v>218</v>
      </c>
      <c r="V18" s="71">
        <v>211</v>
      </c>
      <c r="W18" s="79"/>
      <c r="X18" s="81" t="s">
        <v>357</v>
      </c>
      <c r="Y18" s="24"/>
    </row>
    <row r="19" spans="1:25" ht="21.75" customHeight="1" x14ac:dyDescent="0.3">
      <c r="A19" s="40" t="s">
        <v>47</v>
      </c>
      <c r="B19" s="28"/>
      <c r="C19" s="31" t="s">
        <v>78</v>
      </c>
      <c r="D19" s="26" t="s">
        <v>118</v>
      </c>
      <c r="E19" s="33" t="s">
        <v>330</v>
      </c>
      <c r="F19" s="25" t="s">
        <v>105</v>
      </c>
      <c r="G19" s="25" t="s">
        <v>105</v>
      </c>
      <c r="H19" s="76" t="s">
        <v>104</v>
      </c>
      <c r="I19" s="71" t="s">
        <v>105</v>
      </c>
      <c r="J19" s="71" t="s">
        <v>105</v>
      </c>
      <c r="K19" s="77" t="s">
        <v>162</v>
      </c>
      <c r="L19" s="78">
        <v>213</v>
      </c>
      <c r="M19" s="71">
        <v>0</v>
      </c>
      <c r="N19" s="71"/>
      <c r="O19" s="71"/>
      <c r="P19" s="71"/>
      <c r="Q19" s="71"/>
      <c r="R19" s="71">
        <f t="shared" si="0"/>
        <v>41</v>
      </c>
      <c r="S19" s="71">
        <v>86</v>
      </c>
      <c r="T19" s="71">
        <v>0</v>
      </c>
      <c r="U19" s="71">
        <f t="shared" si="1"/>
        <v>213</v>
      </c>
      <c r="V19" s="71">
        <v>213</v>
      </c>
      <c r="W19" s="79"/>
      <c r="X19" s="79"/>
      <c r="Y19" s="24"/>
    </row>
    <row r="20" spans="1:25" ht="28" x14ac:dyDescent="0.3">
      <c r="A20" s="40" t="s">
        <v>154</v>
      </c>
      <c r="B20" s="28"/>
      <c r="C20" s="31" t="s">
        <v>102</v>
      </c>
      <c r="D20" s="26" t="s">
        <v>118</v>
      </c>
      <c r="E20" s="33" t="s">
        <v>136</v>
      </c>
      <c r="F20" s="25" t="s">
        <v>105</v>
      </c>
      <c r="G20" s="25" t="s">
        <v>105</v>
      </c>
      <c r="H20" s="76" t="s">
        <v>104</v>
      </c>
      <c r="I20" s="71" t="s">
        <v>105</v>
      </c>
      <c r="J20" s="71" t="s">
        <v>105</v>
      </c>
      <c r="K20" s="77" t="s">
        <v>162</v>
      </c>
      <c r="L20" s="78">
        <v>100</v>
      </c>
      <c r="M20" s="71">
        <v>0</v>
      </c>
      <c r="N20" s="71"/>
      <c r="O20" s="71"/>
      <c r="P20" s="71"/>
      <c r="Q20" s="71"/>
      <c r="R20" s="71">
        <f t="shared" si="0"/>
        <v>90</v>
      </c>
      <c r="S20" s="71">
        <v>5</v>
      </c>
      <c r="T20" s="71">
        <v>0</v>
      </c>
      <c r="U20" s="71">
        <f t="shared" si="1"/>
        <v>100</v>
      </c>
      <c r="V20" s="71">
        <v>100</v>
      </c>
      <c r="W20" s="79"/>
      <c r="X20" s="79"/>
      <c r="Y20" s="24"/>
    </row>
    <row r="21" spans="1:25" ht="32.5" customHeight="1" x14ac:dyDescent="0.3">
      <c r="A21" s="40" t="s">
        <v>48</v>
      </c>
      <c r="B21" s="28"/>
      <c r="C21" s="31" t="s">
        <v>79</v>
      </c>
      <c r="D21" s="26" t="s">
        <v>118</v>
      </c>
      <c r="E21" s="33" t="s">
        <v>124</v>
      </c>
      <c r="F21" s="25" t="s">
        <v>105</v>
      </c>
      <c r="G21" s="25" t="s">
        <v>105</v>
      </c>
      <c r="H21" s="71" t="s">
        <v>105</v>
      </c>
      <c r="I21" s="71" t="s">
        <v>105</v>
      </c>
      <c r="J21" s="76" t="s">
        <v>104</v>
      </c>
      <c r="K21" s="77" t="s">
        <v>161</v>
      </c>
      <c r="L21" s="78">
        <v>136</v>
      </c>
      <c r="M21" s="71">
        <v>0</v>
      </c>
      <c r="N21" s="71"/>
      <c r="O21" s="71"/>
      <c r="P21" s="71"/>
      <c r="Q21" s="71"/>
      <c r="R21" s="71">
        <f t="shared" si="0"/>
        <v>136</v>
      </c>
      <c r="S21" s="71">
        <v>0</v>
      </c>
      <c r="T21" s="71">
        <v>0</v>
      </c>
      <c r="U21" s="71">
        <f t="shared" si="1"/>
        <v>136</v>
      </c>
      <c r="V21" s="71">
        <v>136</v>
      </c>
      <c r="W21" s="79"/>
      <c r="X21" s="79"/>
      <c r="Y21" s="24"/>
    </row>
    <row r="22" spans="1:25" ht="36" customHeight="1" x14ac:dyDescent="0.3">
      <c r="A22" s="40" t="s">
        <v>49</v>
      </c>
      <c r="B22" s="28"/>
      <c r="C22" s="31" t="s">
        <v>80</v>
      </c>
      <c r="D22" s="26" t="s">
        <v>118</v>
      </c>
      <c r="E22" s="59" t="s">
        <v>132</v>
      </c>
      <c r="F22" s="25" t="s">
        <v>105</v>
      </c>
      <c r="G22" s="25" t="s">
        <v>105</v>
      </c>
      <c r="H22" s="86" t="s">
        <v>105</v>
      </c>
      <c r="I22" s="64" t="s">
        <v>104</v>
      </c>
      <c r="J22" s="71" t="s">
        <v>105</v>
      </c>
      <c r="K22" s="77" t="s">
        <v>162</v>
      </c>
      <c r="L22" s="78">
        <v>78</v>
      </c>
      <c r="M22" s="71">
        <v>0</v>
      </c>
      <c r="N22" s="71"/>
      <c r="O22" s="71"/>
      <c r="P22" s="71"/>
      <c r="Q22" s="71"/>
      <c r="R22" s="71">
        <f t="shared" si="0"/>
        <v>22</v>
      </c>
      <c r="S22" s="71">
        <v>28</v>
      </c>
      <c r="T22" s="71">
        <v>0</v>
      </c>
      <c r="U22" s="71">
        <f t="shared" si="1"/>
        <v>78</v>
      </c>
      <c r="V22" s="71">
        <v>78</v>
      </c>
      <c r="W22" s="79"/>
      <c r="X22" s="81" t="s">
        <v>355</v>
      </c>
      <c r="Y22" s="24"/>
    </row>
    <row r="23" spans="1:25" ht="25.9" customHeight="1" x14ac:dyDescent="0.3">
      <c r="A23" s="40" t="s">
        <v>50</v>
      </c>
      <c r="B23" s="28"/>
      <c r="C23" s="31" t="s">
        <v>81</v>
      </c>
      <c r="D23" s="26" t="s">
        <v>118</v>
      </c>
      <c r="E23" s="33" t="s">
        <v>125</v>
      </c>
      <c r="F23" s="25" t="s">
        <v>105</v>
      </c>
      <c r="G23" s="25" t="s">
        <v>105</v>
      </c>
      <c r="H23" s="71" t="s">
        <v>105</v>
      </c>
      <c r="I23" s="71" t="s">
        <v>105</v>
      </c>
      <c r="J23" s="76" t="s">
        <v>104</v>
      </c>
      <c r="K23" s="77" t="s">
        <v>162</v>
      </c>
      <c r="L23" s="78">
        <v>88</v>
      </c>
      <c r="M23" s="71">
        <v>0</v>
      </c>
      <c r="N23" s="71"/>
      <c r="O23" s="71"/>
      <c r="P23" s="71"/>
      <c r="Q23" s="71"/>
      <c r="R23" s="71">
        <f t="shared" si="0"/>
        <v>88</v>
      </c>
      <c r="S23" s="71">
        <v>0</v>
      </c>
      <c r="T23" s="71">
        <v>0</v>
      </c>
      <c r="U23" s="71">
        <f t="shared" si="1"/>
        <v>88</v>
      </c>
      <c r="V23" s="71">
        <v>88</v>
      </c>
      <c r="W23" s="79"/>
      <c r="X23" s="79"/>
      <c r="Y23" s="24"/>
    </row>
    <row r="24" spans="1:25" ht="15.5" x14ac:dyDescent="0.3">
      <c r="A24" s="40" t="s">
        <v>51</v>
      </c>
      <c r="B24" s="28"/>
      <c r="C24" s="31" t="s">
        <v>82</v>
      </c>
      <c r="D24" s="26" t="s">
        <v>118</v>
      </c>
      <c r="E24" s="85" t="s">
        <v>132</v>
      </c>
      <c r="F24" s="25" t="s">
        <v>105</v>
      </c>
      <c r="G24" s="25" t="s">
        <v>105</v>
      </c>
      <c r="H24" s="71" t="s">
        <v>105</v>
      </c>
      <c r="I24" s="71" t="s">
        <v>104</v>
      </c>
      <c r="J24" s="76" t="s">
        <v>105</v>
      </c>
      <c r="K24" s="77" t="s">
        <v>162</v>
      </c>
      <c r="L24" s="78">
        <v>116</v>
      </c>
      <c r="M24" s="71">
        <v>0</v>
      </c>
      <c r="N24" s="71"/>
      <c r="O24" s="71"/>
      <c r="P24" s="71"/>
      <c r="Q24" s="71"/>
      <c r="R24" s="71">
        <f t="shared" si="0"/>
        <v>116</v>
      </c>
      <c r="S24" s="71">
        <v>0</v>
      </c>
      <c r="T24" s="71">
        <v>0</v>
      </c>
      <c r="U24" s="71">
        <f t="shared" si="1"/>
        <v>116</v>
      </c>
      <c r="V24" s="71">
        <v>116</v>
      </c>
      <c r="W24" s="79"/>
      <c r="X24" s="79"/>
      <c r="Y24" s="24"/>
    </row>
    <row r="25" spans="1:25" ht="28" x14ac:dyDescent="0.3">
      <c r="A25" s="40" t="s">
        <v>53</v>
      </c>
      <c r="B25" s="28"/>
      <c r="C25" s="31" t="s">
        <v>84</v>
      </c>
      <c r="D25" s="26" t="s">
        <v>118</v>
      </c>
      <c r="E25" s="33" t="s">
        <v>126</v>
      </c>
      <c r="F25" s="25" t="s">
        <v>105</v>
      </c>
      <c r="G25" s="25" t="s">
        <v>105</v>
      </c>
      <c r="H25" s="71" t="s">
        <v>105</v>
      </c>
      <c r="I25" s="71" t="s">
        <v>105</v>
      </c>
      <c r="J25" s="76" t="s">
        <v>104</v>
      </c>
      <c r="K25" s="77" t="s">
        <v>161</v>
      </c>
      <c r="L25" s="83">
        <v>284</v>
      </c>
      <c r="M25" s="71">
        <v>2</v>
      </c>
      <c r="N25" s="71"/>
      <c r="O25" s="71" t="s">
        <v>371</v>
      </c>
      <c r="P25" s="84" t="s">
        <v>370</v>
      </c>
      <c r="Q25" s="71"/>
      <c r="R25" s="71">
        <f t="shared" si="0"/>
        <v>269</v>
      </c>
      <c r="S25" s="71">
        <v>24</v>
      </c>
      <c r="T25" s="71">
        <v>0</v>
      </c>
      <c r="U25" s="71">
        <v>317</v>
      </c>
      <c r="V25" s="71">
        <v>315</v>
      </c>
      <c r="W25" s="71">
        <v>26</v>
      </c>
      <c r="X25" s="72" t="s">
        <v>359</v>
      </c>
      <c r="Y25" s="24"/>
    </row>
    <row r="26" spans="1:25" ht="15.5" x14ac:dyDescent="0.3">
      <c r="A26" s="40" t="s">
        <v>146</v>
      </c>
      <c r="B26" s="28"/>
      <c r="C26" s="31" t="s">
        <v>86</v>
      </c>
      <c r="D26" s="26" t="s">
        <v>118</v>
      </c>
      <c r="E26" s="35" t="s">
        <v>127</v>
      </c>
      <c r="F26" s="25" t="s">
        <v>105</v>
      </c>
      <c r="G26" s="25" t="s">
        <v>105</v>
      </c>
      <c r="H26" s="71" t="s">
        <v>105</v>
      </c>
      <c r="I26" s="71" t="s">
        <v>105</v>
      </c>
      <c r="J26" s="76" t="s">
        <v>104</v>
      </c>
      <c r="K26" s="77" t="s">
        <v>162</v>
      </c>
      <c r="L26" s="78">
        <v>116</v>
      </c>
      <c r="M26" s="71">
        <v>0</v>
      </c>
      <c r="N26" s="71"/>
      <c r="O26" s="71"/>
      <c r="P26" s="71"/>
      <c r="Q26" s="71"/>
      <c r="R26" s="71">
        <f t="shared" si="0"/>
        <v>116</v>
      </c>
      <c r="S26" s="71">
        <v>0</v>
      </c>
      <c r="T26" s="71">
        <v>0</v>
      </c>
      <c r="U26" s="71">
        <f t="shared" si="1"/>
        <v>116</v>
      </c>
      <c r="V26" s="71">
        <v>116</v>
      </c>
      <c r="W26" s="79"/>
      <c r="X26" s="79"/>
      <c r="Y26" s="24"/>
    </row>
    <row r="27" spans="1:25" ht="15.5" x14ac:dyDescent="0.3">
      <c r="A27" s="40" t="s">
        <v>54</v>
      </c>
      <c r="B27" s="28"/>
      <c r="C27" s="31" t="s">
        <v>87</v>
      </c>
      <c r="D27" s="26" t="s">
        <v>118</v>
      </c>
      <c r="E27" s="36" t="s">
        <v>54</v>
      </c>
      <c r="F27" s="25" t="s">
        <v>105</v>
      </c>
      <c r="G27" s="25" t="s">
        <v>105</v>
      </c>
      <c r="H27" s="71" t="s">
        <v>105</v>
      </c>
      <c r="I27" s="71" t="s">
        <v>105</v>
      </c>
      <c r="J27" s="76" t="s">
        <v>104</v>
      </c>
      <c r="K27" s="77" t="s">
        <v>161</v>
      </c>
      <c r="L27" s="78">
        <v>80</v>
      </c>
      <c r="M27" s="71">
        <v>0</v>
      </c>
      <c r="N27" s="71"/>
      <c r="O27" s="71"/>
      <c r="P27" s="71"/>
      <c r="Q27" s="71"/>
      <c r="R27" s="71">
        <v>64</v>
      </c>
      <c r="S27" s="71">
        <v>4</v>
      </c>
      <c r="T27" s="71">
        <v>2</v>
      </c>
      <c r="U27" s="71">
        <f t="shared" si="1"/>
        <v>80</v>
      </c>
      <c r="V27" s="71">
        <v>80</v>
      </c>
      <c r="W27" s="79"/>
      <c r="X27" s="79" t="s">
        <v>360</v>
      </c>
      <c r="Y27" s="24"/>
    </row>
    <row r="28" spans="1:25" ht="15.5" x14ac:dyDescent="0.3">
      <c r="A28" s="40" t="s">
        <v>56</v>
      </c>
      <c r="B28" s="28"/>
      <c r="C28" s="31" t="s">
        <v>89</v>
      </c>
      <c r="D28" s="26" t="s">
        <v>118</v>
      </c>
      <c r="E28" s="38" t="s">
        <v>128</v>
      </c>
      <c r="F28" s="25" t="s">
        <v>105</v>
      </c>
      <c r="G28" s="25" t="s">
        <v>105</v>
      </c>
      <c r="H28" s="71" t="s">
        <v>105</v>
      </c>
      <c r="I28" s="71" t="s">
        <v>105</v>
      </c>
      <c r="J28" s="76" t="s">
        <v>104</v>
      </c>
      <c r="K28" s="77" t="s">
        <v>161</v>
      </c>
      <c r="L28" s="78">
        <v>88</v>
      </c>
      <c r="M28" s="71">
        <v>0</v>
      </c>
      <c r="N28" s="71"/>
      <c r="O28" s="71"/>
      <c r="P28" s="71"/>
      <c r="Q28" s="71"/>
      <c r="R28" s="71">
        <f t="shared" si="0"/>
        <v>88</v>
      </c>
      <c r="S28" s="71">
        <v>0</v>
      </c>
      <c r="T28" s="71">
        <v>0</v>
      </c>
      <c r="U28" s="71">
        <f t="shared" si="1"/>
        <v>88</v>
      </c>
      <c r="V28" s="71">
        <v>88</v>
      </c>
      <c r="W28" s="79"/>
      <c r="X28" s="79"/>
      <c r="Y28" s="24"/>
    </row>
    <row r="29" spans="1:25" ht="48.75" customHeight="1" x14ac:dyDescent="0.3">
      <c r="A29" s="40" t="s">
        <v>57</v>
      </c>
      <c r="B29" s="28"/>
      <c r="C29" s="29" t="s">
        <v>90</v>
      </c>
      <c r="D29" s="26" t="s">
        <v>118</v>
      </c>
      <c r="E29" s="37" t="s">
        <v>129</v>
      </c>
      <c r="F29" s="25" t="s">
        <v>105</v>
      </c>
      <c r="G29" s="25" t="s">
        <v>105</v>
      </c>
      <c r="H29" s="71" t="s">
        <v>105</v>
      </c>
      <c r="I29" s="71" t="s">
        <v>105</v>
      </c>
      <c r="J29" s="76" t="s">
        <v>104</v>
      </c>
      <c r="K29" s="77" t="s">
        <v>161</v>
      </c>
      <c r="L29" s="78">
        <v>100</v>
      </c>
      <c r="M29" s="71">
        <v>0</v>
      </c>
      <c r="N29" s="71"/>
      <c r="O29" s="71"/>
      <c r="P29" s="71"/>
      <c r="Q29" s="71"/>
      <c r="R29" s="71">
        <f t="shared" si="0"/>
        <v>100</v>
      </c>
      <c r="S29" s="71">
        <v>0</v>
      </c>
      <c r="T29" s="71">
        <v>0</v>
      </c>
      <c r="U29" s="71">
        <f t="shared" si="1"/>
        <v>100</v>
      </c>
      <c r="V29" s="71">
        <v>100</v>
      </c>
      <c r="W29" s="81" t="s">
        <v>368</v>
      </c>
      <c r="X29" s="79"/>
      <c r="Y29" s="24"/>
    </row>
    <row r="30" spans="1:25" ht="15.5" x14ac:dyDescent="0.3">
      <c r="A30" s="40" t="s">
        <v>58</v>
      </c>
      <c r="B30" s="28"/>
      <c r="C30" s="31" t="s">
        <v>91</v>
      </c>
      <c r="D30" s="26" t="s">
        <v>118</v>
      </c>
      <c r="E30" s="33" t="s">
        <v>130</v>
      </c>
      <c r="F30" s="25" t="s">
        <v>105</v>
      </c>
      <c r="G30" s="25" t="s">
        <v>105</v>
      </c>
      <c r="H30" s="71" t="s">
        <v>105</v>
      </c>
      <c r="I30" s="71" t="s">
        <v>105</v>
      </c>
      <c r="J30" s="76" t="s">
        <v>104</v>
      </c>
      <c r="K30" s="77" t="s">
        <v>161</v>
      </c>
      <c r="L30" s="78">
        <v>100</v>
      </c>
      <c r="M30" s="71">
        <v>0</v>
      </c>
      <c r="N30" s="71"/>
      <c r="O30" s="71"/>
      <c r="P30" s="71"/>
      <c r="Q30" s="71"/>
      <c r="R30" s="71">
        <v>44</v>
      </c>
      <c r="S30" s="71">
        <v>20</v>
      </c>
      <c r="T30" s="71">
        <v>4</v>
      </c>
      <c r="U30" s="71">
        <f t="shared" si="1"/>
        <v>100</v>
      </c>
      <c r="V30" s="71">
        <v>100</v>
      </c>
      <c r="W30" s="79"/>
      <c r="X30" s="79" t="s">
        <v>360</v>
      </c>
      <c r="Y30" s="24"/>
    </row>
    <row r="31" spans="1:25" ht="15.5" x14ac:dyDescent="0.3">
      <c r="A31" s="40" t="s">
        <v>147</v>
      </c>
      <c r="B31" s="28"/>
      <c r="C31" s="31" t="s">
        <v>92</v>
      </c>
      <c r="D31" s="26" t="s">
        <v>118</v>
      </c>
      <c r="E31" s="33" t="s">
        <v>131</v>
      </c>
      <c r="F31" s="25" t="s">
        <v>105</v>
      </c>
      <c r="G31" s="25" t="s">
        <v>105</v>
      </c>
      <c r="H31" s="71" t="s">
        <v>105</v>
      </c>
      <c r="I31" s="71" t="s">
        <v>105</v>
      </c>
      <c r="J31" s="76" t="s">
        <v>104</v>
      </c>
      <c r="K31" s="77" t="s">
        <v>161</v>
      </c>
      <c r="L31" s="78">
        <v>57</v>
      </c>
      <c r="M31" s="71">
        <v>0</v>
      </c>
      <c r="N31" s="71"/>
      <c r="O31" s="71"/>
      <c r="P31" s="71"/>
      <c r="Q31" s="71"/>
      <c r="R31" s="71">
        <f t="shared" si="0"/>
        <v>57</v>
      </c>
      <c r="S31" s="71">
        <v>0</v>
      </c>
      <c r="T31" s="71">
        <v>0</v>
      </c>
      <c r="U31" s="71">
        <f t="shared" si="1"/>
        <v>57</v>
      </c>
      <c r="V31" s="71">
        <v>57</v>
      </c>
      <c r="W31" s="79"/>
      <c r="X31" s="79"/>
      <c r="Y31" s="24"/>
    </row>
    <row r="32" spans="1:25" ht="15.5" x14ac:dyDescent="0.3">
      <c r="A32" s="40" t="s">
        <v>60</v>
      </c>
      <c r="B32" s="28"/>
      <c r="C32" s="31" t="s">
        <v>94</v>
      </c>
      <c r="D32" s="26" t="s">
        <v>118</v>
      </c>
      <c r="E32" s="59" t="s">
        <v>60</v>
      </c>
      <c r="F32" s="25" t="s">
        <v>105</v>
      </c>
      <c r="G32" s="25" t="s">
        <v>105</v>
      </c>
      <c r="H32" s="76" t="s">
        <v>104</v>
      </c>
      <c r="I32" s="71" t="s">
        <v>105</v>
      </c>
      <c r="J32" s="71" t="s">
        <v>105</v>
      </c>
      <c r="K32" s="77" t="s">
        <v>162</v>
      </c>
      <c r="L32" s="78">
        <v>120</v>
      </c>
      <c r="M32" s="71">
        <v>0</v>
      </c>
      <c r="N32" s="71"/>
      <c r="O32" s="71"/>
      <c r="P32" s="71"/>
      <c r="Q32" s="71"/>
      <c r="R32" s="71">
        <f t="shared" si="0"/>
        <v>120</v>
      </c>
      <c r="S32" s="71">
        <v>0</v>
      </c>
      <c r="T32" s="71">
        <v>0</v>
      </c>
      <c r="U32" s="71">
        <f t="shared" si="1"/>
        <v>120</v>
      </c>
      <c r="V32" s="71">
        <v>120</v>
      </c>
      <c r="W32" s="79"/>
      <c r="X32" s="79" t="s">
        <v>391</v>
      </c>
      <c r="Y32" s="24"/>
    </row>
    <row r="33" spans="1:25" ht="15.5" x14ac:dyDescent="0.3">
      <c r="A33" s="40" t="s">
        <v>61</v>
      </c>
      <c r="B33" s="28"/>
      <c r="C33" s="31" t="s">
        <v>95</v>
      </c>
      <c r="D33" s="26" t="s">
        <v>118</v>
      </c>
      <c r="E33" s="33" t="s">
        <v>132</v>
      </c>
      <c r="F33" s="25" t="s">
        <v>105</v>
      </c>
      <c r="G33" s="25" t="s">
        <v>105</v>
      </c>
      <c r="H33" s="71" t="s">
        <v>105</v>
      </c>
      <c r="I33" s="76" t="s">
        <v>104</v>
      </c>
      <c r="J33" s="71" t="s">
        <v>105</v>
      </c>
      <c r="K33" s="77" t="s">
        <v>162</v>
      </c>
      <c r="L33" s="78">
        <v>80</v>
      </c>
      <c r="M33" s="71">
        <v>0</v>
      </c>
      <c r="N33" s="71"/>
      <c r="O33" s="71"/>
      <c r="P33" s="71"/>
      <c r="Q33" s="71"/>
      <c r="R33" s="71">
        <f t="shared" si="0"/>
        <v>80</v>
      </c>
      <c r="S33" s="71">
        <v>0</v>
      </c>
      <c r="T33" s="71">
        <v>0</v>
      </c>
      <c r="U33" s="71">
        <f t="shared" si="1"/>
        <v>80</v>
      </c>
      <c r="V33" s="71">
        <v>80</v>
      </c>
      <c r="W33" s="79"/>
      <c r="X33" s="79"/>
      <c r="Y33" s="24"/>
    </row>
    <row r="34" spans="1:25" ht="28" x14ac:dyDescent="0.3">
      <c r="A34" s="40" t="s">
        <v>62</v>
      </c>
      <c r="B34" s="28"/>
      <c r="C34" s="31" t="s">
        <v>96</v>
      </c>
      <c r="D34" s="26" t="s">
        <v>118</v>
      </c>
      <c r="E34" s="33" t="s">
        <v>62</v>
      </c>
      <c r="F34" s="25" t="s">
        <v>105</v>
      </c>
      <c r="G34" s="25" t="s">
        <v>105</v>
      </c>
      <c r="H34" s="71" t="s">
        <v>105</v>
      </c>
      <c r="I34" s="71" t="s">
        <v>105</v>
      </c>
      <c r="J34" s="76" t="s">
        <v>104</v>
      </c>
      <c r="K34" s="77" t="s">
        <v>162</v>
      </c>
      <c r="L34" s="78">
        <v>197</v>
      </c>
      <c r="M34" s="71">
        <v>0</v>
      </c>
      <c r="N34" s="71"/>
      <c r="O34" s="71" t="s">
        <v>373</v>
      </c>
      <c r="P34" s="72" t="s">
        <v>372</v>
      </c>
      <c r="Q34" s="71"/>
      <c r="R34" s="71">
        <v>248</v>
      </c>
      <c r="S34" s="71">
        <v>9</v>
      </c>
      <c r="T34" s="71">
        <v>0</v>
      </c>
      <c r="U34" s="71">
        <f>SUM(L34:Q34) - N34 + 60</f>
        <v>257</v>
      </c>
      <c r="V34" s="71">
        <v>257</v>
      </c>
      <c r="W34" s="79"/>
      <c r="X34" s="81" t="s">
        <v>361</v>
      </c>
      <c r="Y34" s="24"/>
    </row>
    <row r="35" spans="1:25" ht="28" x14ac:dyDescent="0.3">
      <c r="A35" s="40" t="s">
        <v>65</v>
      </c>
      <c r="B35" s="28"/>
      <c r="C35" s="31" t="s">
        <v>101</v>
      </c>
      <c r="D35" s="26" t="s">
        <v>118</v>
      </c>
      <c r="E35" s="33" t="s">
        <v>135</v>
      </c>
      <c r="F35" s="25" t="s">
        <v>105</v>
      </c>
      <c r="G35" s="25" t="s">
        <v>105</v>
      </c>
      <c r="H35" s="71" t="s">
        <v>105</v>
      </c>
      <c r="I35" s="71" t="s">
        <v>105</v>
      </c>
      <c r="J35" s="76" t="s">
        <v>104</v>
      </c>
      <c r="K35" s="77" t="s">
        <v>161</v>
      </c>
      <c r="L35" s="78">
        <v>200</v>
      </c>
      <c r="M35" s="71">
        <v>0</v>
      </c>
      <c r="N35" s="71"/>
      <c r="O35" s="71"/>
      <c r="P35" s="71"/>
      <c r="Q35" s="71"/>
      <c r="R35" s="71">
        <f t="shared" si="0"/>
        <v>200</v>
      </c>
      <c r="S35" s="71">
        <v>0</v>
      </c>
      <c r="T35" s="71">
        <v>0</v>
      </c>
      <c r="U35" s="71">
        <f t="shared" si="1"/>
        <v>200</v>
      </c>
      <c r="V35" s="71">
        <v>200</v>
      </c>
      <c r="W35" s="79"/>
      <c r="X35" s="79"/>
      <c r="Y35" s="24"/>
    </row>
    <row r="36" spans="1:25" ht="19.899999999999999" customHeight="1" x14ac:dyDescent="0.3">
      <c r="A36" s="40" t="s">
        <v>150</v>
      </c>
      <c r="B36" s="28"/>
      <c r="C36" s="31" t="s">
        <v>98</v>
      </c>
      <c r="D36" s="26" t="s">
        <v>118</v>
      </c>
      <c r="E36" s="33" t="s">
        <v>134</v>
      </c>
      <c r="F36" s="25" t="s">
        <v>105</v>
      </c>
      <c r="G36" s="25" t="s">
        <v>105</v>
      </c>
      <c r="H36" s="71" t="s">
        <v>105</v>
      </c>
      <c r="I36" s="71" t="s">
        <v>105</v>
      </c>
      <c r="J36" s="76" t="s">
        <v>104</v>
      </c>
      <c r="K36" s="77" t="s">
        <v>106</v>
      </c>
      <c r="L36" s="78">
        <v>80</v>
      </c>
      <c r="M36" s="71">
        <v>0</v>
      </c>
      <c r="N36" s="71"/>
      <c r="O36" s="71"/>
      <c r="P36" s="71"/>
      <c r="Q36" s="71"/>
      <c r="R36" s="71">
        <f t="shared" si="0"/>
        <v>80</v>
      </c>
      <c r="S36" s="71">
        <v>0</v>
      </c>
      <c r="T36" s="71">
        <v>0</v>
      </c>
      <c r="U36" s="71">
        <f t="shared" si="1"/>
        <v>80</v>
      </c>
      <c r="V36" s="71">
        <v>80</v>
      </c>
      <c r="W36" s="79"/>
      <c r="X36" s="79"/>
      <c r="Y36" s="24"/>
    </row>
    <row r="37" spans="1:25" ht="20.5" customHeight="1" x14ac:dyDescent="0.3">
      <c r="A37" s="40" t="s">
        <v>149</v>
      </c>
      <c r="B37" s="28"/>
      <c r="C37" s="31" t="s">
        <v>97</v>
      </c>
      <c r="D37" s="26" t="s">
        <v>118</v>
      </c>
      <c r="E37" s="33" t="s">
        <v>133</v>
      </c>
      <c r="F37" s="25" t="s">
        <v>105</v>
      </c>
      <c r="G37" s="25" t="s">
        <v>105</v>
      </c>
      <c r="H37" s="76" t="s">
        <v>104</v>
      </c>
      <c r="I37" s="71" t="s">
        <v>105</v>
      </c>
      <c r="J37" s="71" t="s">
        <v>105</v>
      </c>
      <c r="K37" s="77" t="s">
        <v>162</v>
      </c>
      <c r="L37" s="78">
        <v>91</v>
      </c>
      <c r="M37" s="71">
        <v>0</v>
      </c>
      <c r="N37" s="71"/>
      <c r="O37" s="71"/>
      <c r="P37" s="71"/>
      <c r="Q37" s="71"/>
      <c r="R37" s="71">
        <f t="shared" si="0"/>
        <v>77</v>
      </c>
      <c r="S37" s="71">
        <v>7</v>
      </c>
      <c r="T37" s="71">
        <v>0</v>
      </c>
      <c r="U37" s="71">
        <f t="shared" si="1"/>
        <v>91</v>
      </c>
      <c r="V37" s="71">
        <v>91</v>
      </c>
      <c r="W37" s="79"/>
      <c r="X37" s="79"/>
      <c r="Y37" s="24"/>
    </row>
    <row r="38" spans="1:25" ht="28" x14ac:dyDescent="0.3">
      <c r="A38" s="40" t="s">
        <v>63</v>
      </c>
      <c r="B38" s="28"/>
      <c r="C38" s="31" t="s">
        <v>99</v>
      </c>
      <c r="D38" s="26" t="s">
        <v>118</v>
      </c>
      <c r="E38" s="33" t="s">
        <v>63</v>
      </c>
      <c r="F38" s="25" t="s">
        <v>105</v>
      </c>
      <c r="G38" s="25" t="s">
        <v>105</v>
      </c>
      <c r="H38" s="71" t="s">
        <v>105</v>
      </c>
      <c r="I38" s="71" t="s">
        <v>105</v>
      </c>
      <c r="J38" s="76" t="s">
        <v>104</v>
      </c>
      <c r="K38" s="77" t="s">
        <v>162</v>
      </c>
      <c r="L38" s="78">
        <v>84</v>
      </c>
      <c r="M38" s="71">
        <v>0</v>
      </c>
      <c r="N38" s="71"/>
      <c r="O38" s="71"/>
      <c r="P38" s="71"/>
      <c r="Q38" s="71"/>
      <c r="R38" s="71">
        <v>12</v>
      </c>
      <c r="S38" s="71">
        <v>6</v>
      </c>
      <c r="T38" s="71">
        <v>15</v>
      </c>
      <c r="U38" s="71">
        <f t="shared" si="1"/>
        <v>84</v>
      </c>
      <c r="V38" s="71">
        <v>84</v>
      </c>
      <c r="W38" s="79"/>
      <c r="X38" s="81" t="s">
        <v>358</v>
      </c>
      <c r="Y38" s="24"/>
    </row>
    <row r="39" spans="1:25" ht="28" x14ac:dyDescent="0.3">
      <c r="A39" s="40" t="s">
        <v>64</v>
      </c>
      <c r="B39" s="28"/>
      <c r="C39" s="31" t="s">
        <v>100</v>
      </c>
      <c r="D39" s="26" t="s">
        <v>118</v>
      </c>
      <c r="E39" s="85" t="s">
        <v>132</v>
      </c>
      <c r="F39" s="25" t="s">
        <v>105</v>
      </c>
      <c r="G39" s="25" t="s">
        <v>105</v>
      </c>
      <c r="H39" s="71" t="s">
        <v>105</v>
      </c>
      <c r="I39" s="76" t="s">
        <v>104</v>
      </c>
      <c r="J39" s="71" t="s">
        <v>105</v>
      </c>
      <c r="K39" s="77" t="s">
        <v>162</v>
      </c>
      <c r="L39" s="78">
        <v>197</v>
      </c>
      <c r="M39" s="71">
        <v>0</v>
      </c>
      <c r="N39" s="71"/>
      <c r="O39" s="71"/>
      <c r="P39" s="71"/>
      <c r="Q39" s="71"/>
      <c r="R39" s="71">
        <f t="shared" si="0"/>
        <v>193</v>
      </c>
      <c r="S39" s="71">
        <v>2</v>
      </c>
      <c r="T39" s="71">
        <v>0</v>
      </c>
      <c r="U39" s="71">
        <f t="shared" si="1"/>
        <v>197</v>
      </c>
      <c r="V39" s="71">
        <v>197</v>
      </c>
      <c r="W39" s="79"/>
      <c r="X39" s="79"/>
      <c r="Y39" s="24"/>
    </row>
    <row r="40" spans="1:25" ht="15.5" x14ac:dyDescent="0.3">
      <c r="A40" s="40" t="s">
        <v>151</v>
      </c>
      <c r="B40" s="28"/>
      <c r="C40" s="31" t="s">
        <v>103</v>
      </c>
      <c r="D40" s="87" t="s">
        <v>118</v>
      </c>
      <c r="E40" s="35" t="s">
        <v>137</v>
      </c>
      <c r="F40" s="25" t="s">
        <v>105</v>
      </c>
      <c r="G40" s="25" t="s">
        <v>105</v>
      </c>
      <c r="H40" s="88" t="s">
        <v>105</v>
      </c>
      <c r="I40" s="88" t="s">
        <v>105</v>
      </c>
      <c r="J40" s="89" t="s">
        <v>104</v>
      </c>
      <c r="K40" s="90" t="s">
        <v>161</v>
      </c>
      <c r="L40" s="91">
        <v>150</v>
      </c>
      <c r="M40" s="88">
        <v>0</v>
      </c>
      <c r="N40" s="88"/>
      <c r="O40" s="88"/>
      <c r="P40" s="88"/>
      <c r="Q40" s="88"/>
      <c r="R40" s="88">
        <f t="shared" si="0"/>
        <v>94</v>
      </c>
      <c r="S40" s="88">
        <v>28</v>
      </c>
      <c r="T40" s="88">
        <v>0</v>
      </c>
      <c r="U40" s="88">
        <f t="shared" si="1"/>
        <v>150</v>
      </c>
      <c r="V40" s="88">
        <v>150</v>
      </c>
      <c r="W40" s="92"/>
      <c r="X40" s="92"/>
      <c r="Y40" s="24"/>
    </row>
    <row r="41" spans="1:25" s="42" customFormat="1" ht="39.65" customHeight="1" x14ac:dyDescent="0.3">
      <c r="A41" s="93"/>
      <c r="B41" s="93"/>
      <c r="C41" s="93"/>
      <c r="D41" s="93"/>
      <c r="E41" s="93"/>
      <c r="F41" s="93"/>
      <c r="G41" s="93"/>
      <c r="H41" s="93"/>
      <c r="I41" s="93"/>
      <c r="J41" s="93"/>
      <c r="K41" s="93"/>
      <c r="L41" s="86">
        <f>SUM(L4:L40)</f>
        <v>4967</v>
      </c>
      <c r="M41" s="93"/>
      <c r="N41" s="86">
        <v>66</v>
      </c>
      <c r="O41" s="86" t="s">
        <v>392</v>
      </c>
      <c r="P41" s="94" t="s">
        <v>393</v>
      </c>
      <c r="Q41" s="93"/>
      <c r="R41" s="93"/>
      <c r="S41" s="93"/>
      <c r="T41" s="93"/>
      <c r="U41" s="86">
        <f>SUM(U4:U40)</f>
        <v>5317</v>
      </c>
      <c r="V41" s="86">
        <f>SUM(V4:V40)</f>
        <v>5293</v>
      </c>
      <c r="W41" s="93"/>
      <c r="X41" s="93"/>
    </row>
    <row r="42" spans="1:25" x14ac:dyDescent="0.3">
      <c r="A42" s="24"/>
      <c r="B42" s="24"/>
      <c r="C42" s="24"/>
      <c r="D42" s="24"/>
      <c r="E42" s="24"/>
      <c r="F42" s="24"/>
      <c r="G42" s="24"/>
      <c r="H42" s="24"/>
      <c r="I42" s="24"/>
      <c r="J42" s="24"/>
      <c r="K42" s="24"/>
      <c r="L42" s="24"/>
      <c r="M42" s="24"/>
      <c r="N42" s="24"/>
      <c r="O42" s="24"/>
      <c r="P42" s="24"/>
      <c r="Q42" s="24"/>
      <c r="R42" s="24"/>
      <c r="S42" s="24"/>
      <c r="T42" s="24"/>
      <c r="U42" s="24"/>
      <c r="V42" s="24"/>
      <c r="W42" s="24"/>
      <c r="X42" s="24"/>
      <c r="Y42" s="24"/>
    </row>
    <row r="43" spans="1:25" ht="38" x14ac:dyDescent="0.3">
      <c r="A43" s="30" t="s">
        <v>138</v>
      </c>
      <c r="B43" s="24"/>
      <c r="C43" s="24"/>
      <c r="D43" s="24"/>
      <c r="E43" s="24"/>
      <c r="F43" s="24"/>
      <c r="G43" s="24"/>
      <c r="H43" s="24"/>
      <c r="I43" s="24"/>
      <c r="J43" s="24"/>
      <c r="K43" s="24"/>
      <c r="L43" s="24"/>
      <c r="M43" s="24"/>
      <c r="N43" s="24"/>
      <c r="O43" s="24"/>
      <c r="P43" s="24"/>
      <c r="Q43" s="24"/>
      <c r="R43" s="24"/>
      <c r="S43" s="24"/>
      <c r="T43" s="24"/>
      <c r="U43" s="24"/>
      <c r="V43" s="24"/>
      <c r="W43" s="24"/>
      <c r="X43" s="24"/>
      <c r="Y43" s="24"/>
    </row>
    <row r="44" spans="1:25" x14ac:dyDescent="0.3">
      <c r="A44" s="24"/>
      <c r="B44" s="24"/>
      <c r="C44" s="24"/>
      <c r="D44" s="24"/>
      <c r="E44" s="24"/>
      <c r="F44" s="24"/>
      <c r="G44" s="24"/>
      <c r="H44" s="24"/>
      <c r="I44" s="24"/>
      <c r="J44" s="24"/>
      <c r="K44" s="24"/>
      <c r="L44" s="24"/>
      <c r="M44" s="24"/>
      <c r="N44" s="24"/>
      <c r="O44" s="24"/>
      <c r="P44" s="24"/>
      <c r="Q44" s="24"/>
      <c r="R44" s="24"/>
      <c r="S44" s="24"/>
      <c r="T44" s="24"/>
      <c r="U44" s="24"/>
      <c r="V44" s="24"/>
      <c r="W44" s="24"/>
      <c r="X44" s="24"/>
      <c r="Y44" s="24"/>
    </row>
    <row r="45" spans="1:25" x14ac:dyDescent="0.3">
      <c r="A45" s="24"/>
      <c r="B45" s="24"/>
      <c r="C45" s="24"/>
      <c r="D45" s="24"/>
      <c r="E45" s="24"/>
      <c r="F45" s="24"/>
      <c r="G45" s="24"/>
      <c r="H45" s="24"/>
      <c r="I45" s="24"/>
      <c r="J45" s="24"/>
      <c r="K45" s="24"/>
      <c r="L45" s="24"/>
      <c r="M45" s="24"/>
      <c r="N45" s="24"/>
      <c r="O45" s="24"/>
      <c r="P45" s="24"/>
      <c r="Q45" s="24"/>
      <c r="R45" s="24"/>
      <c r="S45" s="24"/>
      <c r="T45" s="24"/>
      <c r="U45" s="24"/>
      <c r="V45" s="24"/>
      <c r="W45" s="24"/>
      <c r="X45" s="24"/>
      <c r="Y45" s="24"/>
    </row>
    <row r="46" spans="1:25" x14ac:dyDescent="0.3">
      <c r="A46" s="24"/>
      <c r="B46" s="24"/>
      <c r="C46" s="24"/>
      <c r="D46" s="24"/>
      <c r="E46" s="24"/>
      <c r="F46" s="24"/>
      <c r="G46" s="24"/>
      <c r="H46" s="24"/>
      <c r="I46" s="24"/>
      <c r="J46" s="24"/>
      <c r="K46" s="24"/>
      <c r="L46" s="24"/>
      <c r="M46" s="24"/>
      <c r="N46" s="24"/>
      <c r="O46" s="24"/>
      <c r="P46" s="24"/>
      <c r="Q46" s="24"/>
      <c r="R46" s="24"/>
      <c r="S46" s="24"/>
      <c r="T46" s="24"/>
      <c r="U46" s="24"/>
      <c r="V46" s="24"/>
      <c r="W46" s="24"/>
      <c r="X46" s="24"/>
      <c r="Y46" s="24"/>
    </row>
    <row r="47" spans="1:25" ht="38.5" customHeight="1" x14ac:dyDescent="0.3">
      <c r="A47" s="104" t="s">
        <v>395</v>
      </c>
      <c r="B47" s="104"/>
      <c r="C47" s="104"/>
      <c r="D47" s="24"/>
      <c r="E47" s="24"/>
      <c r="F47" s="24"/>
      <c r="G47" s="24"/>
      <c r="H47" s="24"/>
      <c r="I47" s="24"/>
      <c r="J47" s="24"/>
      <c r="K47" s="24"/>
      <c r="L47" s="24"/>
      <c r="M47" s="24"/>
      <c r="N47" s="24"/>
      <c r="O47" s="24"/>
      <c r="P47" s="24"/>
      <c r="Q47" s="24"/>
      <c r="R47" s="24"/>
      <c r="S47" s="24"/>
      <c r="T47" s="24"/>
      <c r="U47" s="24"/>
      <c r="V47" s="24"/>
      <c r="W47" s="24"/>
      <c r="X47" s="24"/>
      <c r="Y47" s="24"/>
    </row>
    <row r="48" spans="1:25" x14ac:dyDescent="0.3">
      <c r="A48" s="24"/>
      <c r="B48" s="24"/>
      <c r="C48" s="24"/>
      <c r="D48" s="24"/>
      <c r="E48" s="24"/>
      <c r="F48" s="24"/>
      <c r="G48" s="24"/>
      <c r="H48" s="24"/>
      <c r="I48" s="24"/>
      <c r="J48" s="24"/>
      <c r="K48" s="24"/>
      <c r="L48" s="24"/>
      <c r="M48" s="24"/>
      <c r="N48" s="24"/>
      <c r="O48" s="24"/>
      <c r="P48" s="24"/>
      <c r="Q48" s="24"/>
      <c r="R48" s="24"/>
      <c r="S48" s="24"/>
      <c r="T48" s="24"/>
      <c r="U48" s="24"/>
      <c r="V48" s="24"/>
      <c r="W48" s="24"/>
      <c r="X48" s="24"/>
      <c r="Y48" s="24"/>
    </row>
    <row r="49" spans="1:25" x14ac:dyDescent="0.3">
      <c r="A49" s="24"/>
      <c r="B49" s="24"/>
      <c r="C49" s="24"/>
      <c r="D49" s="24"/>
      <c r="E49" s="24"/>
      <c r="F49" s="24"/>
      <c r="G49" s="24"/>
      <c r="H49" s="24"/>
      <c r="I49" s="24"/>
      <c r="J49" s="24"/>
      <c r="K49" s="24"/>
      <c r="L49" s="24"/>
      <c r="M49" s="24"/>
      <c r="N49" s="24"/>
      <c r="O49" s="24"/>
      <c r="P49" s="24"/>
      <c r="Q49" s="24"/>
      <c r="R49" s="24"/>
      <c r="S49" s="24"/>
      <c r="T49" s="24"/>
      <c r="U49" s="24"/>
      <c r="V49" s="24"/>
      <c r="W49" s="24"/>
      <c r="X49" s="24"/>
      <c r="Y49" s="24"/>
    </row>
    <row r="50" spans="1:25" x14ac:dyDescent="0.3">
      <c r="A50" s="24"/>
      <c r="B50" s="24"/>
      <c r="C50" s="24"/>
      <c r="D50" s="24"/>
      <c r="E50" s="24"/>
      <c r="F50" s="24"/>
      <c r="G50" s="24"/>
      <c r="H50" s="24"/>
      <c r="I50" s="24"/>
      <c r="J50" s="24"/>
      <c r="K50" s="24"/>
      <c r="L50" s="24"/>
      <c r="M50" s="24"/>
      <c r="N50" s="24"/>
      <c r="O50" s="24"/>
      <c r="P50" s="24"/>
      <c r="Q50" s="24"/>
      <c r="R50" s="24"/>
      <c r="S50" s="24"/>
      <c r="T50" s="24"/>
      <c r="U50" s="24"/>
      <c r="V50" s="24"/>
      <c r="W50" s="24"/>
      <c r="X50" s="24"/>
      <c r="Y50" s="24"/>
    </row>
    <row r="51" spans="1:25" x14ac:dyDescent="0.3">
      <c r="A51" s="24"/>
      <c r="B51" s="24"/>
      <c r="C51" s="24"/>
      <c r="D51" s="24"/>
      <c r="E51" s="24"/>
      <c r="F51" s="24"/>
      <c r="G51" s="24"/>
      <c r="H51" s="24"/>
      <c r="I51" s="24"/>
      <c r="J51" s="24"/>
      <c r="K51" s="24"/>
      <c r="L51" s="24"/>
      <c r="M51" s="24"/>
      <c r="N51" s="24"/>
      <c r="O51" s="24"/>
      <c r="P51" s="24"/>
      <c r="Q51" s="24"/>
      <c r="R51" s="24"/>
      <c r="S51" s="24"/>
      <c r="T51" s="24"/>
      <c r="U51" s="24"/>
      <c r="V51" s="24"/>
      <c r="W51" s="24"/>
      <c r="X51" s="24"/>
      <c r="Y51" s="24"/>
    </row>
    <row r="52" spans="1:25" x14ac:dyDescent="0.3">
      <c r="A52" s="24"/>
      <c r="B52" s="24"/>
      <c r="C52" s="24"/>
      <c r="D52" s="24"/>
      <c r="E52" s="24"/>
      <c r="F52" s="24"/>
      <c r="G52" s="24"/>
      <c r="H52" s="24"/>
      <c r="I52" s="24"/>
      <c r="J52" s="24"/>
      <c r="K52" s="24"/>
      <c r="L52" s="24"/>
      <c r="M52" s="24"/>
      <c r="N52" s="24"/>
      <c r="O52" s="24"/>
      <c r="P52" s="24"/>
      <c r="Q52" s="24"/>
      <c r="R52" s="24"/>
      <c r="S52" s="24"/>
      <c r="T52" s="24"/>
      <c r="U52" s="24"/>
      <c r="V52" s="24"/>
      <c r="W52" s="24"/>
      <c r="X52" s="24"/>
      <c r="Y52" s="24"/>
    </row>
    <row r="53" spans="1:25" x14ac:dyDescent="0.3">
      <c r="A53" s="24"/>
      <c r="B53" s="24"/>
      <c r="C53" s="24"/>
      <c r="D53" s="24"/>
      <c r="E53" s="24"/>
      <c r="F53" s="24"/>
      <c r="G53" s="24"/>
      <c r="H53" s="24"/>
      <c r="I53" s="24"/>
      <c r="J53" s="24"/>
      <c r="K53" s="24"/>
      <c r="L53" s="24"/>
      <c r="M53" s="24"/>
      <c r="N53" s="24"/>
      <c r="O53" s="24"/>
      <c r="P53" s="24"/>
      <c r="Q53" s="24"/>
      <c r="R53" s="24"/>
      <c r="S53" s="24"/>
      <c r="T53" s="24"/>
      <c r="U53" s="24"/>
      <c r="V53" s="24"/>
      <c r="W53" s="24"/>
      <c r="X53" s="24"/>
      <c r="Y53" s="24"/>
    </row>
    <row r="54" spans="1:25" x14ac:dyDescent="0.3">
      <c r="A54" s="24"/>
      <c r="B54" s="24"/>
      <c r="C54" s="24"/>
      <c r="D54" s="24"/>
      <c r="E54" s="24"/>
      <c r="F54" s="24"/>
      <c r="G54" s="24"/>
      <c r="H54" s="24"/>
      <c r="I54" s="24"/>
      <c r="J54" s="24"/>
      <c r="K54" s="24"/>
      <c r="L54" s="24"/>
      <c r="M54" s="24"/>
      <c r="N54" s="24"/>
      <c r="O54" s="24"/>
      <c r="P54" s="24"/>
      <c r="Q54" s="24"/>
      <c r="R54" s="24"/>
      <c r="S54" s="24"/>
      <c r="T54" s="24"/>
      <c r="U54" s="24"/>
      <c r="V54" s="24"/>
      <c r="W54" s="24"/>
      <c r="X54" s="24"/>
      <c r="Y54" s="24"/>
    </row>
    <row r="55" spans="1:25" x14ac:dyDescent="0.3">
      <c r="A55" s="24"/>
      <c r="B55" s="24"/>
      <c r="C55" s="24"/>
      <c r="D55" s="24"/>
      <c r="E55" s="24"/>
      <c r="F55" s="24"/>
      <c r="G55" s="24"/>
      <c r="H55" s="24"/>
      <c r="I55" s="24"/>
      <c r="J55" s="24"/>
      <c r="K55" s="24"/>
      <c r="L55" s="24"/>
      <c r="M55" s="24"/>
      <c r="N55" s="24"/>
      <c r="O55" s="24"/>
      <c r="P55" s="24"/>
      <c r="Q55" s="24"/>
      <c r="R55" s="24"/>
      <c r="S55" s="24"/>
      <c r="T55" s="24"/>
      <c r="U55" s="24"/>
      <c r="V55" s="24"/>
      <c r="W55" s="24"/>
      <c r="X55" s="24"/>
      <c r="Y55" s="24"/>
    </row>
    <row r="56" spans="1:25" x14ac:dyDescent="0.3">
      <c r="A56" s="24"/>
      <c r="B56" s="24"/>
      <c r="C56" s="24"/>
      <c r="D56" s="24"/>
      <c r="E56" s="24"/>
      <c r="F56" s="24"/>
      <c r="G56" s="24"/>
      <c r="H56" s="24"/>
      <c r="I56" s="24"/>
      <c r="J56" s="24"/>
      <c r="K56" s="24"/>
      <c r="L56" s="24"/>
      <c r="M56" s="24"/>
      <c r="N56" s="24"/>
      <c r="O56" s="24"/>
      <c r="P56" s="24"/>
      <c r="Q56" s="24"/>
      <c r="R56" s="24"/>
      <c r="S56" s="24"/>
      <c r="T56" s="24"/>
      <c r="U56" s="24"/>
      <c r="V56" s="24"/>
      <c r="W56" s="24"/>
      <c r="X56" s="24"/>
      <c r="Y56" s="24"/>
    </row>
    <row r="57" spans="1:25" x14ac:dyDescent="0.3">
      <c r="A57" s="24"/>
      <c r="B57" s="24"/>
      <c r="C57" s="24"/>
      <c r="D57" s="24"/>
      <c r="E57" s="24"/>
      <c r="F57" s="24"/>
      <c r="G57" s="24"/>
      <c r="H57" s="24"/>
      <c r="I57" s="24"/>
      <c r="J57" s="24"/>
      <c r="K57" s="24"/>
      <c r="L57" s="24"/>
      <c r="M57" s="24"/>
      <c r="N57" s="24"/>
      <c r="O57" s="24"/>
      <c r="P57" s="24"/>
      <c r="Q57" s="24"/>
      <c r="R57" s="24"/>
      <c r="S57" s="24"/>
      <c r="T57" s="24"/>
      <c r="U57" s="24"/>
      <c r="V57" s="24"/>
      <c r="W57" s="24"/>
      <c r="X57" s="24"/>
      <c r="Y57" s="24"/>
    </row>
    <row r="58" spans="1:25" x14ac:dyDescent="0.3">
      <c r="A58" s="24"/>
      <c r="B58" s="24"/>
      <c r="C58" s="24"/>
      <c r="D58" s="24"/>
      <c r="E58" s="24"/>
      <c r="F58" s="24"/>
      <c r="G58" s="24"/>
      <c r="H58" s="24"/>
      <c r="I58" s="24"/>
      <c r="J58" s="24"/>
      <c r="K58" s="24"/>
      <c r="L58" s="24"/>
      <c r="M58" s="24"/>
      <c r="N58" s="24"/>
      <c r="O58" s="24"/>
      <c r="P58" s="24"/>
      <c r="Q58" s="24"/>
      <c r="R58" s="24"/>
      <c r="S58" s="24"/>
      <c r="T58" s="24"/>
      <c r="U58" s="24"/>
      <c r="V58" s="24"/>
      <c r="W58" s="24"/>
      <c r="X58" s="24"/>
      <c r="Y58" s="24"/>
    </row>
    <row r="59" spans="1:25" x14ac:dyDescent="0.3">
      <c r="A59" s="24"/>
      <c r="B59" s="24"/>
      <c r="C59" s="24"/>
      <c r="D59" s="24"/>
      <c r="E59" s="24"/>
      <c r="F59" s="24"/>
      <c r="G59" s="24"/>
      <c r="H59" s="24"/>
      <c r="I59" s="24"/>
      <c r="J59" s="24"/>
      <c r="K59" s="24"/>
      <c r="L59" s="24"/>
      <c r="M59" s="24"/>
      <c r="N59" s="24"/>
      <c r="O59" s="24"/>
      <c r="P59" s="24"/>
      <c r="Q59" s="24"/>
      <c r="R59" s="24"/>
      <c r="S59" s="24"/>
      <c r="T59" s="24"/>
      <c r="U59" s="24"/>
      <c r="V59" s="24"/>
      <c r="W59" s="24"/>
      <c r="X59" s="24"/>
      <c r="Y59" s="24"/>
    </row>
    <row r="60" spans="1:25" x14ac:dyDescent="0.3">
      <c r="A60" s="24"/>
      <c r="B60" s="24"/>
      <c r="C60" s="24"/>
      <c r="D60" s="24"/>
      <c r="E60" s="24"/>
      <c r="F60" s="24"/>
      <c r="G60" s="24"/>
      <c r="H60" s="24"/>
      <c r="I60" s="24"/>
      <c r="J60" s="24"/>
      <c r="K60" s="24"/>
      <c r="L60" s="24"/>
      <c r="M60" s="24"/>
      <c r="N60" s="24"/>
      <c r="O60" s="24"/>
      <c r="P60" s="24"/>
      <c r="Q60" s="24"/>
      <c r="R60" s="24"/>
      <c r="S60" s="24"/>
      <c r="T60" s="24"/>
      <c r="U60" s="24"/>
      <c r="V60" s="24"/>
      <c r="W60" s="24"/>
      <c r="X60" s="24"/>
      <c r="Y60" s="24"/>
    </row>
    <row r="61" spans="1:25" x14ac:dyDescent="0.3">
      <c r="A61" s="24"/>
      <c r="B61" s="24"/>
      <c r="C61" s="24"/>
      <c r="D61" s="24"/>
      <c r="E61" s="24"/>
      <c r="F61" s="24"/>
      <c r="G61" s="24"/>
      <c r="H61" s="24"/>
      <c r="I61" s="24"/>
      <c r="J61" s="24"/>
      <c r="K61" s="24"/>
      <c r="L61" s="24"/>
      <c r="M61" s="24"/>
      <c r="N61" s="24"/>
      <c r="O61" s="24"/>
      <c r="P61" s="24"/>
      <c r="Q61" s="24"/>
      <c r="R61" s="24"/>
      <c r="S61" s="24"/>
      <c r="T61" s="24"/>
      <c r="U61" s="24"/>
      <c r="V61" s="24"/>
      <c r="W61" s="24"/>
      <c r="X61" s="24"/>
      <c r="Y61" s="24"/>
    </row>
    <row r="62" spans="1:25" x14ac:dyDescent="0.3">
      <c r="A62" s="24"/>
      <c r="B62" s="24"/>
      <c r="C62" s="24"/>
      <c r="D62" s="24"/>
      <c r="E62" s="24"/>
      <c r="F62" s="24"/>
      <c r="G62" s="24"/>
      <c r="H62" s="24"/>
      <c r="I62" s="24"/>
      <c r="J62" s="24"/>
      <c r="K62" s="24"/>
      <c r="L62" s="24"/>
      <c r="M62" s="24"/>
      <c r="N62" s="24"/>
      <c r="O62" s="24"/>
      <c r="P62" s="24"/>
      <c r="Q62" s="24"/>
      <c r="R62" s="24"/>
      <c r="S62" s="24"/>
      <c r="T62" s="24"/>
      <c r="U62" s="24"/>
      <c r="V62" s="24"/>
      <c r="W62" s="24"/>
      <c r="X62" s="24"/>
      <c r="Y62" s="24"/>
    </row>
    <row r="63" spans="1:25" x14ac:dyDescent="0.3">
      <c r="A63" s="24"/>
      <c r="B63" s="24"/>
      <c r="C63" s="24"/>
      <c r="D63" s="24"/>
      <c r="E63" s="24"/>
      <c r="F63" s="24"/>
      <c r="G63" s="24"/>
      <c r="H63" s="24"/>
      <c r="I63" s="24"/>
      <c r="J63" s="24"/>
      <c r="K63" s="24"/>
      <c r="L63" s="24"/>
      <c r="M63" s="24"/>
      <c r="N63" s="24"/>
      <c r="O63" s="24"/>
      <c r="P63" s="24"/>
      <c r="Q63" s="24"/>
      <c r="R63" s="24"/>
      <c r="S63" s="24"/>
      <c r="T63" s="24"/>
      <c r="U63" s="24"/>
      <c r="V63" s="24"/>
      <c r="W63" s="24"/>
      <c r="X63" s="24"/>
      <c r="Y63" s="24"/>
    </row>
    <row r="64" spans="1:25" x14ac:dyDescent="0.3">
      <c r="A64" s="24"/>
      <c r="B64" s="24"/>
      <c r="C64" s="24"/>
      <c r="D64" s="24"/>
      <c r="E64" s="24"/>
      <c r="F64" s="24"/>
      <c r="G64" s="24"/>
      <c r="H64" s="24"/>
      <c r="I64" s="24"/>
      <c r="J64" s="24"/>
      <c r="K64" s="24"/>
      <c r="L64" s="24"/>
      <c r="M64" s="24"/>
      <c r="N64" s="24"/>
      <c r="O64" s="24"/>
      <c r="P64" s="24"/>
      <c r="Q64" s="24"/>
      <c r="R64" s="24"/>
      <c r="S64" s="24"/>
      <c r="T64" s="24"/>
      <c r="U64" s="24"/>
      <c r="V64" s="24"/>
      <c r="W64" s="24"/>
      <c r="X64" s="24"/>
      <c r="Y64" s="24"/>
    </row>
    <row r="65" spans="1:25" x14ac:dyDescent="0.3">
      <c r="A65" s="24"/>
      <c r="B65" s="24"/>
      <c r="C65" s="24"/>
      <c r="D65" s="24"/>
      <c r="E65" s="24"/>
      <c r="F65" s="24"/>
      <c r="G65" s="24"/>
      <c r="H65" s="24"/>
      <c r="I65" s="24"/>
      <c r="J65" s="24"/>
      <c r="K65" s="24"/>
      <c r="L65" s="24"/>
      <c r="M65" s="24"/>
      <c r="N65" s="24"/>
      <c r="O65" s="24"/>
      <c r="P65" s="24"/>
      <c r="Q65" s="24"/>
      <c r="R65" s="24"/>
      <c r="S65" s="24"/>
      <c r="T65" s="24"/>
      <c r="U65" s="24"/>
      <c r="V65" s="24"/>
      <c r="W65" s="24"/>
      <c r="X65" s="24"/>
      <c r="Y65" s="24"/>
    </row>
    <row r="66" spans="1:25" x14ac:dyDescent="0.3">
      <c r="A66" s="24"/>
      <c r="B66" s="24"/>
      <c r="C66" s="24"/>
      <c r="D66" s="24"/>
      <c r="E66" s="24"/>
      <c r="F66" s="24"/>
      <c r="G66" s="24"/>
      <c r="H66" s="24"/>
      <c r="I66" s="24"/>
      <c r="J66" s="24"/>
      <c r="K66" s="24"/>
      <c r="L66" s="24"/>
      <c r="M66" s="24"/>
      <c r="N66" s="24"/>
      <c r="O66" s="24"/>
      <c r="P66" s="24"/>
      <c r="Q66" s="24"/>
      <c r="R66" s="24"/>
      <c r="S66" s="24"/>
      <c r="T66" s="24"/>
      <c r="U66" s="24"/>
      <c r="V66" s="24"/>
      <c r="W66" s="24"/>
      <c r="X66" s="24"/>
      <c r="Y66" s="24"/>
    </row>
    <row r="67" spans="1:25" x14ac:dyDescent="0.3">
      <c r="A67" s="24"/>
      <c r="B67" s="24"/>
      <c r="C67" s="24"/>
      <c r="D67" s="24"/>
      <c r="E67" s="24"/>
      <c r="F67" s="24"/>
      <c r="G67" s="24"/>
      <c r="H67" s="24"/>
      <c r="I67" s="24"/>
      <c r="J67" s="24"/>
      <c r="K67" s="24"/>
      <c r="L67" s="24"/>
      <c r="M67" s="24"/>
      <c r="N67" s="24"/>
      <c r="O67" s="24"/>
      <c r="P67" s="24"/>
      <c r="Q67" s="24"/>
      <c r="R67" s="24"/>
      <c r="S67" s="24"/>
      <c r="T67" s="24"/>
      <c r="U67" s="24"/>
      <c r="V67" s="24"/>
      <c r="W67" s="24"/>
      <c r="X67" s="24"/>
      <c r="Y67" s="24"/>
    </row>
    <row r="68" spans="1:25" x14ac:dyDescent="0.3">
      <c r="A68" s="24"/>
      <c r="B68" s="24"/>
      <c r="C68" s="24"/>
      <c r="D68" s="24"/>
      <c r="E68" s="24"/>
      <c r="F68" s="24"/>
      <c r="G68" s="24"/>
      <c r="H68" s="24"/>
      <c r="I68" s="24"/>
      <c r="J68" s="24"/>
      <c r="K68" s="24"/>
      <c r="L68" s="24"/>
      <c r="M68" s="24"/>
      <c r="N68" s="24"/>
      <c r="O68" s="24"/>
      <c r="P68" s="24"/>
      <c r="Q68" s="24"/>
      <c r="R68" s="24"/>
      <c r="S68" s="24"/>
      <c r="T68" s="24"/>
      <c r="U68" s="24"/>
      <c r="V68" s="24"/>
      <c r="W68" s="24"/>
      <c r="X68" s="24"/>
      <c r="Y68" s="24"/>
    </row>
    <row r="69" spans="1:25" x14ac:dyDescent="0.3">
      <c r="A69" s="24"/>
      <c r="B69" s="24"/>
      <c r="C69" s="24"/>
      <c r="D69" s="24"/>
      <c r="E69" s="24"/>
      <c r="F69" s="24"/>
      <c r="G69" s="24"/>
      <c r="H69" s="24"/>
      <c r="I69" s="24"/>
      <c r="J69" s="24"/>
      <c r="K69" s="24"/>
      <c r="L69" s="24"/>
      <c r="M69" s="24"/>
      <c r="N69" s="24"/>
      <c r="O69" s="24"/>
      <c r="P69" s="24"/>
      <c r="Q69" s="24"/>
      <c r="R69" s="24"/>
      <c r="S69" s="24"/>
      <c r="T69" s="24"/>
      <c r="U69" s="24"/>
      <c r="V69" s="24"/>
      <c r="W69" s="24"/>
      <c r="X69" s="24"/>
      <c r="Y69" s="24"/>
    </row>
    <row r="70" spans="1:25" x14ac:dyDescent="0.3">
      <c r="A70" s="24"/>
      <c r="B70" s="24"/>
      <c r="C70" s="24"/>
      <c r="D70" s="24"/>
      <c r="E70" s="24"/>
      <c r="F70" s="24"/>
      <c r="G70" s="24"/>
      <c r="H70" s="24"/>
      <c r="I70" s="24"/>
      <c r="J70" s="24"/>
      <c r="K70" s="24"/>
      <c r="L70" s="24"/>
      <c r="M70" s="24"/>
      <c r="N70" s="24"/>
      <c r="O70" s="24"/>
      <c r="P70" s="24"/>
      <c r="Q70" s="24"/>
      <c r="R70" s="24"/>
      <c r="S70" s="24"/>
      <c r="T70" s="24"/>
      <c r="U70" s="24"/>
      <c r="V70" s="24"/>
      <c r="W70" s="24"/>
      <c r="X70" s="24"/>
      <c r="Y70" s="24"/>
    </row>
    <row r="71" spans="1:25" x14ac:dyDescent="0.3">
      <c r="A71" s="24"/>
      <c r="B71" s="24"/>
      <c r="C71" s="24"/>
      <c r="D71" s="24"/>
      <c r="E71" s="24"/>
      <c r="F71" s="24"/>
      <c r="G71" s="24"/>
      <c r="H71" s="24"/>
      <c r="I71" s="24"/>
      <c r="J71" s="24"/>
      <c r="K71" s="24"/>
      <c r="L71" s="24"/>
      <c r="M71" s="24"/>
      <c r="N71" s="24"/>
      <c r="O71" s="24"/>
      <c r="P71" s="24"/>
      <c r="Q71" s="24"/>
      <c r="R71" s="24"/>
      <c r="S71" s="24"/>
      <c r="T71" s="24"/>
      <c r="U71" s="24"/>
      <c r="V71" s="24"/>
      <c r="W71" s="24"/>
      <c r="X71" s="24"/>
      <c r="Y71" s="24"/>
    </row>
    <row r="72" spans="1:25" x14ac:dyDescent="0.3">
      <c r="A72" s="24"/>
      <c r="B72" s="24"/>
      <c r="C72" s="24"/>
      <c r="D72" s="24"/>
      <c r="E72" s="24"/>
      <c r="F72" s="24"/>
      <c r="G72" s="24"/>
      <c r="H72" s="24"/>
      <c r="I72" s="24"/>
      <c r="J72" s="24"/>
      <c r="K72" s="24"/>
      <c r="L72" s="24"/>
      <c r="M72" s="24"/>
      <c r="N72" s="24"/>
      <c r="O72" s="24"/>
      <c r="P72" s="24"/>
      <c r="Q72" s="24"/>
      <c r="R72" s="24"/>
      <c r="S72" s="24"/>
      <c r="T72" s="24"/>
      <c r="U72" s="24"/>
      <c r="V72" s="24"/>
      <c r="W72" s="24"/>
      <c r="X72" s="24"/>
      <c r="Y72" s="24"/>
    </row>
    <row r="73" spans="1:25" x14ac:dyDescent="0.3">
      <c r="A73" s="24"/>
      <c r="B73" s="24"/>
      <c r="C73" s="24"/>
      <c r="D73" s="24"/>
      <c r="E73" s="24"/>
      <c r="F73" s="24"/>
      <c r="G73" s="24"/>
      <c r="H73" s="24"/>
      <c r="I73" s="24"/>
      <c r="J73" s="24"/>
      <c r="K73" s="24"/>
      <c r="L73" s="24"/>
      <c r="M73" s="24"/>
      <c r="N73" s="24"/>
      <c r="O73" s="24"/>
      <c r="P73" s="24"/>
      <c r="Q73" s="24"/>
      <c r="R73" s="24"/>
      <c r="S73" s="24"/>
      <c r="T73" s="24"/>
      <c r="U73" s="24"/>
      <c r="V73" s="24"/>
      <c r="W73" s="24"/>
      <c r="X73" s="24"/>
      <c r="Y73" s="24"/>
    </row>
    <row r="74" spans="1:25" x14ac:dyDescent="0.3">
      <c r="A74" s="24"/>
      <c r="B74" s="24"/>
      <c r="C74" s="24"/>
      <c r="D74" s="24"/>
      <c r="E74" s="24"/>
      <c r="F74" s="24"/>
      <c r="G74" s="24"/>
      <c r="H74" s="24"/>
      <c r="I74" s="24"/>
      <c r="J74" s="24"/>
      <c r="K74" s="24"/>
      <c r="L74" s="24"/>
      <c r="M74" s="24"/>
      <c r="N74" s="24"/>
      <c r="O74" s="24"/>
      <c r="P74" s="24"/>
      <c r="Q74" s="24"/>
      <c r="R74" s="24"/>
      <c r="S74" s="24"/>
      <c r="T74" s="24"/>
      <c r="U74" s="24"/>
      <c r="V74" s="24"/>
      <c r="W74" s="24"/>
      <c r="X74" s="24"/>
      <c r="Y74" s="24"/>
    </row>
    <row r="75" spans="1:25" x14ac:dyDescent="0.3">
      <c r="A75" s="24"/>
      <c r="B75" s="24"/>
      <c r="C75" s="24"/>
      <c r="D75" s="24"/>
      <c r="E75" s="24"/>
      <c r="F75" s="24"/>
      <c r="G75" s="24"/>
      <c r="H75" s="24"/>
      <c r="I75" s="24"/>
      <c r="J75" s="24"/>
      <c r="K75" s="24"/>
      <c r="L75" s="24"/>
      <c r="M75" s="24"/>
      <c r="N75" s="24"/>
      <c r="O75" s="24"/>
      <c r="P75" s="24"/>
      <c r="Q75" s="24"/>
      <c r="R75" s="24"/>
      <c r="S75" s="24"/>
      <c r="T75" s="24"/>
      <c r="U75" s="24"/>
      <c r="V75" s="24"/>
      <c r="W75" s="24"/>
      <c r="X75" s="24"/>
      <c r="Y75" s="24"/>
    </row>
    <row r="76" spans="1:25" x14ac:dyDescent="0.3">
      <c r="A76" s="24"/>
      <c r="B76" s="24"/>
      <c r="C76" s="24"/>
      <c r="D76" s="24"/>
      <c r="E76" s="24"/>
      <c r="F76" s="24"/>
      <c r="G76" s="24"/>
      <c r="H76" s="24"/>
      <c r="I76" s="24"/>
      <c r="J76" s="24"/>
      <c r="K76" s="24"/>
      <c r="L76" s="24"/>
      <c r="M76" s="24"/>
      <c r="N76" s="24"/>
      <c r="O76" s="24"/>
      <c r="P76" s="24"/>
      <c r="Q76" s="24"/>
      <c r="R76" s="24"/>
      <c r="S76" s="24"/>
      <c r="T76" s="24"/>
      <c r="U76" s="24"/>
      <c r="V76" s="24"/>
      <c r="W76" s="24"/>
      <c r="X76" s="24"/>
      <c r="Y76" s="24"/>
    </row>
    <row r="77" spans="1:25" x14ac:dyDescent="0.3">
      <c r="A77" s="24"/>
      <c r="B77" s="24"/>
      <c r="C77" s="24"/>
      <c r="D77" s="24"/>
      <c r="E77" s="24"/>
      <c r="F77" s="24"/>
      <c r="G77" s="24"/>
      <c r="H77" s="24"/>
      <c r="I77" s="24"/>
      <c r="J77" s="24"/>
      <c r="K77" s="24"/>
      <c r="L77" s="24"/>
      <c r="M77" s="24"/>
      <c r="N77" s="24"/>
      <c r="O77" s="24"/>
      <c r="P77" s="24"/>
      <c r="Q77" s="24"/>
      <c r="R77" s="24"/>
      <c r="S77" s="24"/>
      <c r="T77" s="24"/>
      <c r="U77" s="24"/>
      <c r="V77" s="24"/>
      <c r="W77" s="24"/>
      <c r="X77" s="24"/>
      <c r="Y77" s="24"/>
    </row>
    <row r="78" spans="1:25" x14ac:dyDescent="0.3">
      <c r="A78" s="24"/>
      <c r="B78" s="24"/>
      <c r="C78" s="24"/>
      <c r="D78" s="24"/>
      <c r="E78" s="24"/>
      <c r="F78" s="24"/>
      <c r="G78" s="24"/>
      <c r="H78" s="24"/>
      <c r="I78" s="24"/>
      <c r="J78" s="24"/>
      <c r="K78" s="24"/>
      <c r="L78" s="24"/>
      <c r="M78" s="24"/>
      <c r="N78" s="24"/>
      <c r="O78" s="24"/>
      <c r="P78" s="24"/>
      <c r="Q78" s="24"/>
      <c r="R78" s="24"/>
      <c r="S78" s="24"/>
      <c r="T78" s="24"/>
      <c r="U78" s="24"/>
      <c r="V78" s="24"/>
      <c r="W78" s="24"/>
      <c r="X78" s="24"/>
      <c r="Y78" s="24"/>
    </row>
    <row r="79" spans="1:25" x14ac:dyDescent="0.3">
      <c r="A79" s="24"/>
      <c r="B79" s="24"/>
      <c r="C79" s="24"/>
      <c r="D79" s="24"/>
      <c r="E79" s="24"/>
      <c r="F79" s="24"/>
      <c r="G79" s="24"/>
      <c r="H79" s="24"/>
      <c r="I79" s="24"/>
      <c r="J79" s="24"/>
      <c r="K79" s="24"/>
      <c r="L79" s="24"/>
      <c r="M79" s="24"/>
      <c r="N79" s="24"/>
      <c r="O79" s="24"/>
      <c r="P79" s="24"/>
      <c r="Q79" s="24"/>
      <c r="R79" s="24"/>
      <c r="S79" s="24"/>
      <c r="T79" s="24"/>
      <c r="U79" s="24"/>
      <c r="V79" s="24"/>
      <c r="W79" s="24"/>
      <c r="X79" s="24"/>
      <c r="Y79" s="24"/>
    </row>
    <row r="80" spans="1:25" x14ac:dyDescent="0.3">
      <c r="A80" s="24"/>
      <c r="B80" s="24"/>
      <c r="C80" s="24"/>
      <c r="D80" s="24"/>
      <c r="E80" s="24"/>
      <c r="F80" s="24"/>
      <c r="G80" s="24"/>
      <c r="H80" s="24"/>
      <c r="I80" s="24"/>
      <c r="J80" s="24"/>
      <c r="K80" s="24"/>
      <c r="L80" s="24"/>
      <c r="M80" s="24"/>
      <c r="N80" s="24"/>
      <c r="O80" s="24"/>
      <c r="P80" s="24"/>
      <c r="Q80" s="24"/>
      <c r="R80" s="24"/>
      <c r="S80" s="24"/>
      <c r="T80" s="24"/>
      <c r="U80" s="24"/>
      <c r="V80" s="24"/>
      <c r="W80" s="24"/>
      <c r="X80" s="24"/>
      <c r="Y80" s="24"/>
    </row>
    <row r="81" spans="1:25" x14ac:dyDescent="0.3">
      <c r="A81" s="24"/>
      <c r="B81" s="24"/>
      <c r="C81" s="24"/>
      <c r="D81" s="24"/>
      <c r="E81" s="24"/>
      <c r="F81" s="24"/>
      <c r="G81" s="24"/>
      <c r="H81" s="24"/>
      <c r="I81" s="24"/>
      <c r="J81" s="24"/>
      <c r="K81" s="24"/>
      <c r="L81" s="24"/>
      <c r="M81" s="24"/>
      <c r="N81" s="24"/>
      <c r="O81" s="24"/>
      <c r="P81" s="24"/>
      <c r="Q81" s="24"/>
      <c r="R81" s="24"/>
      <c r="S81" s="24"/>
      <c r="T81" s="24"/>
      <c r="U81" s="24"/>
      <c r="V81" s="24"/>
      <c r="W81" s="24"/>
      <c r="X81" s="24"/>
      <c r="Y81" s="24"/>
    </row>
    <row r="82" spans="1:25" x14ac:dyDescent="0.3">
      <c r="A82" s="24"/>
      <c r="B82" s="24"/>
      <c r="C82" s="24"/>
      <c r="D82" s="24"/>
      <c r="E82" s="24"/>
      <c r="F82" s="24"/>
      <c r="G82" s="24"/>
      <c r="H82" s="24"/>
      <c r="I82" s="24"/>
      <c r="J82" s="24"/>
      <c r="K82" s="24"/>
      <c r="L82" s="24"/>
      <c r="M82" s="24"/>
      <c r="N82" s="24"/>
      <c r="O82" s="24"/>
      <c r="P82" s="24"/>
      <c r="Q82" s="24"/>
      <c r="R82" s="24"/>
      <c r="S82" s="24"/>
      <c r="T82" s="24"/>
      <c r="U82" s="24"/>
      <c r="V82" s="24"/>
      <c r="W82" s="24"/>
      <c r="X82" s="24"/>
      <c r="Y82" s="24"/>
    </row>
    <row r="83" spans="1:25" x14ac:dyDescent="0.3">
      <c r="A83" s="24"/>
      <c r="B83" s="24"/>
      <c r="C83" s="24"/>
      <c r="D83" s="24"/>
      <c r="E83" s="24"/>
      <c r="F83" s="24"/>
      <c r="G83" s="24"/>
      <c r="H83" s="24"/>
      <c r="I83" s="24"/>
      <c r="J83" s="24"/>
      <c r="K83" s="24"/>
      <c r="L83" s="24"/>
      <c r="M83" s="24"/>
      <c r="N83" s="24"/>
      <c r="O83" s="24"/>
      <c r="P83" s="24"/>
      <c r="Q83" s="24"/>
      <c r="R83" s="24"/>
      <c r="S83" s="24"/>
      <c r="T83" s="24"/>
      <c r="U83" s="24"/>
      <c r="V83" s="24"/>
      <c r="W83" s="24"/>
      <c r="X83" s="24"/>
      <c r="Y83" s="24"/>
    </row>
    <row r="84" spans="1:25" x14ac:dyDescent="0.3">
      <c r="A84" s="24"/>
      <c r="B84" s="24"/>
      <c r="C84" s="24"/>
      <c r="D84" s="24"/>
      <c r="E84" s="24"/>
      <c r="F84" s="24"/>
      <c r="G84" s="24"/>
      <c r="H84" s="24"/>
      <c r="I84" s="24"/>
      <c r="J84" s="24"/>
      <c r="K84" s="24"/>
      <c r="L84" s="24"/>
      <c r="M84" s="24"/>
      <c r="N84" s="24"/>
      <c r="O84" s="24"/>
      <c r="P84" s="24"/>
      <c r="Q84" s="24"/>
      <c r="R84" s="24"/>
      <c r="S84" s="24"/>
      <c r="T84" s="24"/>
      <c r="U84" s="24"/>
      <c r="V84" s="24"/>
      <c r="W84" s="24"/>
      <c r="X84" s="24"/>
      <c r="Y84" s="24"/>
    </row>
    <row r="85" spans="1:25" x14ac:dyDescent="0.3">
      <c r="A85" s="24"/>
      <c r="B85" s="24"/>
      <c r="C85" s="24"/>
      <c r="D85" s="24"/>
      <c r="E85" s="24"/>
      <c r="F85" s="24"/>
      <c r="G85" s="24"/>
      <c r="H85" s="24"/>
      <c r="I85" s="24"/>
      <c r="J85" s="24"/>
      <c r="K85" s="24"/>
      <c r="L85" s="24"/>
      <c r="M85" s="24"/>
      <c r="N85" s="24"/>
      <c r="O85" s="24"/>
      <c r="P85" s="24"/>
      <c r="Q85" s="24"/>
      <c r="R85" s="24"/>
      <c r="S85" s="24"/>
      <c r="T85" s="24"/>
      <c r="U85" s="24"/>
      <c r="V85" s="24"/>
      <c r="W85" s="24"/>
      <c r="X85" s="24"/>
      <c r="Y85" s="24"/>
    </row>
    <row r="86" spans="1:25" x14ac:dyDescent="0.3">
      <c r="A86" s="24"/>
      <c r="B86" s="24"/>
      <c r="C86" s="24"/>
      <c r="D86" s="24"/>
      <c r="E86" s="24"/>
      <c r="F86" s="24"/>
      <c r="G86" s="24"/>
      <c r="H86" s="24"/>
      <c r="I86" s="24"/>
      <c r="J86" s="24"/>
      <c r="K86" s="24"/>
      <c r="L86" s="24"/>
      <c r="M86" s="24"/>
      <c r="N86" s="24"/>
      <c r="O86" s="24"/>
      <c r="P86" s="24"/>
      <c r="Q86" s="24"/>
      <c r="R86" s="24"/>
      <c r="S86" s="24"/>
      <c r="T86" s="24"/>
      <c r="U86" s="24"/>
      <c r="V86" s="24"/>
      <c r="W86" s="24"/>
      <c r="X86" s="24"/>
      <c r="Y86" s="24"/>
    </row>
    <row r="87" spans="1:25" x14ac:dyDescent="0.3">
      <c r="A87" s="24"/>
      <c r="B87" s="24"/>
      <c r="C87" s="24"/>
      <c r="D87" s="24"/>
      <c r="E87" s="24"/>
      <c r="F87" s="24"/>
      <c r="G87" s="24"/>
      <c r="H87" s="24"/>
      <c r="I87" s="24"/>
      <c r="J87" s="24"/>
      <c r="K87" s="24"/>
      <c r="L87" s="24"/>
      <c r="M87" s="24"/>
      <c r="N87" s="24"/>
      <c r="O87" s="24"/>
      <c r="P87" s="24"/>
      <c r="Q87" s="24"/>
      <c r="R87" s="24"/>
      <c r="S87" s="24"/>
      <c r="T87" s="24"/>
      <c r="U87" s="24"/>
      <c r="V87" s="24"/>
      <c r="W87" s="24"/>
      <c r="X87" s="24"/>
      <c r="Y87" s="24"/>
    </row>
    <row r="88" spans="1:25" x14ac:dyDescent="0.3">
      <c r="A88" s="24"/>
      <c r="B88" s="24"/>
      <c r="C88" s="24"/>
      <c r="D88" s="24"/>
      <c r="E88" s="24"/>
      <c r="F88" s="24"/>
      <c r="G88" s="24"/>
      <c r="H88" s="24"/>
      <c r="I88" s="24"/>
      <c r="J88" s="24"/>
      <c r="K88" s="24"/>
      <c r="L88" s="24"/>
      <c r="M88" s="24"/>
      <c r="N88" s="24"/>
      <c r="O88" s="24"/>
      <c r="P88" s="24"/>
      <c r="Q88" s="24"/>
      <c r="R88" s="24"/>
      <c r="S88" s="24"/>
      <c r="T88" s="24"/>
      <c r="U88" s="24"/>
      <c r="V88" s="24"/>
      <c r="W88" s="24"/>
      <c r="X88" s="24"/>
      <c r="Y88" s="24"/>
    </row>
    <row r="89" spans="1:25" x14ac:dyDescent="0.3">
      <c r="A89" s="24"/>
      <c r="B89" s="24"/>
      <c r="C89" s="24"/>
      <c r="D89" s="24"/>
      <c r="E89" s="24"/>
      <c r="F89" s="24"/>
      <c r="G89" s="24"/>
      <c r="H89" s="24"/>
      <c r="I89" s="24"/>
      <c r="J89" s="24"/>
      <c r="K89" s="24"/>
      <c r="L89" s="24"/>
      <c r="M89" s="24"/>
      <c r="N89" s="24"/>
      <c r="O89" s="24"/>
      <c r="P89" s="24"/>
      <c r="Q89" s="24"/>
      <c r="R89" s="24"/>
      <c r="S89" s="24"/>
      <c r="T89" s="24"/>
      <c r="U89" s="24"/>
      <c r="V89" s="24"/>
      <c r="W89" s="24"/>
      <c r="X89" s="24"/>
      <c r="Y89" s="24"/>
    </row>
    <row r="90" spans="1:25" x14ac:dyDescent="0.3">
      <c r="A90" s="24"/>
      <c r="B90" s="24"/>
      <c r="C90" s="24"/>
      <c r="D90" s="24"/>
      <c r="E90" s="24"/>
      <c r="F90" s="24"/>
      <c r="G90" s="24"/>
      <c r="H90" s="24"/>
      <c r="I90" s="24"/>
      <c r="J90" s="24"/>
      <c r="K90" s="24"/>
      <c r="L90" s="24"/>
      <c r="M90" s="24"/>
      <c r="N90" s="24"/>
      <c r="O90" s="24"/>
      <c r="P90" s="24"/>
      <c r="Q90" s="24"/>
      <c r="R90" s="24"/>
      <c r="S90" s="24"/>
      <c r="T90" s="24"/>
      <c r="U90" s="24"/>
      <c r="V90" s="24"/>
      <c r="W90" s="24"/>
      <c r="X90" s="24"/>
      <c r="Y90" s="24"/>
    </row>
    <row r="91" spans="1:25" x14ac:dyDescent="0.3">
      <c r="A91" s="24"/>
      <c r="B91" s="24"/>
      <c r="C91" s="24"/>
      <c r="D91" s="24"/>
      <c r="E91" s="24"/>
      <c r="F91" s="24"/>
      <c r="G91" s="24"/>
      <c r="H91" s="24"/>
      <c r="I91" s="24"/>
      <c r="J91" s="24"/>
      <c r="K91" s="24"/>
      <c r="L91" s="24"/>
      <c r="M91" s="24"/>
      <c r="N91" s="24"/>
      <c r="O91" s="24"/>
      <c r="P91" s="24"/>
      <c r="Q91" s="24"/>
      <c r="R91" s="24"/>
      <c r="S91" s="24"/>
      <c r="T91" s="24"/>
      <c r="U91" s="24"/>
      <c r="V91" s="24"/>
      <c r="W91" s="24"/>
      <c r="X91" s="24"/>
      <c r="Y91" s="24"/>
    </row>
    <row r="92" spans="1:25" x14ac:dyDescent="0.3">
      <c r="A92" s="24"/>
      <c r="B92" s="24"/>
      <c r="C92" s="24"/>
      <c r="D92" s="24"/>
      <c r="E92" s="24"/>
      <c r="F92" s="24"/>
      <c r="G92" s="24"/>
      <c r="H92" s="24"/>
      <c r="I92" s="24"/>
      <c r="J92" s="24"/>
      <c r="K92" s="24"/>
      <c r="L92" s="24"/>
      <c r="M92" s="24"/>
      <c r="N92" s="24"/>
      <c r="O92" s="24"/>
      <c r="P92" s="24"/>
      <c r="Q92" s="24"/>
      <c r="R92" s="24"/>
      <c r="S92" s="24"/>
      <c r="T92" s="24"/>
      <c r="U92" s="24"/>
      <c r="V92" s="24"/>
      <c r="W92" s="24"/>
      <c r="X92" s="24"/>
      <c r="Y92" s="24"/>
    </row>
    <row r="93" spans="1:25" x14ac:dyDescent="0.3">
      <c r="A93" s="24"/>
      <c r="B93" s="24"/>
      <c r="C93" s="24"/>
      <c r="D93" s="24"/>
      <c r="E93" s="24"/>
      <c r="F93" s="24"/>
      <c r="G93" s="24"/>
      <c r="H93" s="24"/>
      <c r="I93" s="24"/>
      <c r="J93" s="24"/>
      <c r="K93" s="24"/>
      <c r="L93" s="24"/>
      <c r="M93" s="24"/>
      <c r="N93" s="24"/>
      <c r="O93" s="24"/>
      <c r="P93" s="24"/>
      <c r="Q93" s="24"/>
      <c r="R93" s="24"/>
      <c r="S93" s="24"/>
      <c r="T93" s="24"/>
      <c r="U93" s="24"/>
      <c r="V93" s="24"/>
      <c r="W93" s="24"/>
      <c r="X93" s="24"/>
      <c r="Y93" s="24"/>
    </row>
    <row r="94" spans="1:25" x14ac:dyDescent="0.3">
      <c r="A94" s="24"/>
      <c r="B94" s="24"/>
      <c r="C94" s="24"/>
      <c r="D94" s="24"/>
      <c r="E94" s="24"/>
      <c r="F94" s="24"/>
      <c r="G94" s="24"/>
      <c r="H94" s="24"/>
      <c r="I94" s="24"/>
      <c r="J94" s="24"/>
      <c r="K94" s="24"/>
      <c r="L94" s="24"/>
      <c r="M94" s="24"/>
      <c r="N94" s="24"/>
      <c r="O94" s="24"/>
      <c r="P94" s="24"/>
      <c r="Q94" s="24"/>
      <c r="R94" s="24"/>
      <c r="S94" s="24"/>
      <c r="T94" s="24"/>
      <c r="U94" s="24"/>
      <c r="V94" s="24"/>
      <c r="W94" s="24"/>
      <c r="X94" s="24"/>
      <c r="Y94" s="24"/>
    </row>
    <row r="95" spans="1:25" x14ac:dyDescent="0.3">
      <c r="A95" s="24"/>
      <c r="B95" s="24"/>
      <c r="C95" s="24"/>
      <c r="D95" s="24"/>
      <c r="E95" s="24"/>
      <c r="F95" s="24"/>
      <c r="G95" s="24"/>
      <c r="H95" s="24"/>
      <c r="I95" s="24"/>
      <c r="J95" s="24"/>
      <c r="K95" s="24"/>
      <c r="L95" s="24"/>
      <c r="M95" s="24"/>
      <c r="N95" s="24"/>
      <c r="O95" s="24"/>
      <c r="P95" s="24"/>
      <c r="Q95" s="24"/>
      <c r="R95" s="24"/>
      <c r="S95" s="24"/>
      <c r="T95" s="24"/>
      <c r="U95" s="24"/>
      <c r="V95" s="24"/>
      <c r="W95" s="24"/>
      <c r="X95" s="24"/>
      <c r="Y95" s="24"/>
    </row>
    <row r="96" spans="1:25" x14ac:dyDescent="0.3">
      <c r="A96" s="24"/>
      <c r="B96" s="24"/>
      <c r="C96" s="24"/>
      <c r="D96" s="24"/>
      <c r="E96" s="24"/>
      <c r="F96" s="24"/>
      <c r="G96" s="24"/>
      <c r="H96" s="24"/>
      <c r="I96" s="24"/>
      <c r="J96" s="24"/>
      <c r="K96" s="24"/>
      <c r="L96" s="24"/>
      <c r="M96" s="24"/>
      <c r="N96" s="24"/>
      <c r="O96" s="24"/>
      <c r="P96" s="24"/>
      <c r="Q96" s="24"/>
      <c r="R96" s="24"/>
      <c r="S96" s="24"/>
      <c r="T96" s="24"/>
      <c r="U96" s="24"/>
      <c r="V96" s="24"/>
      <c r="W96" s="24"/>
      <c r="X96" s="24"/>
      <c r="Y96" s="24"/>
    </row>
    <row r="97" spans="1:25" x14ac:dyDescent="0.3">
      <c r="A97" s="24"/>
      <c r="B97" s="24"/>
      <c r="C97" s="24"/>
      <c r="D97" s="24"/>
      <c r="E97" s="24"/>
      <c r="F97" s="24"/>
      <c r="G97" s="24"/>
      <c r="H97" s="24"/>
      <c r="I97" s="24"/>
      <c r="J97" s="24"/>
      <c r="K97" s="24"/>
      <c r="L97" s="24"/>
      <c r="M97" s="24"/>
      <c r="N97" s="24"/>
      <c r="O97" s="24"/>
      <c r="P97" s="24"/>
      <c r="Q97" s="24"/>
      <c r="R97" s="24"/>
      <c r="S97" s="24"/>
      <c r="T97" s="24"/>
      <c r="U97" s="24"/>
      <c r="V97" s="24"/>
      <c r="W97" s="24"/>
      <c r="X97" s="24"/>
      <c r="Y97" s="24"/>
    </row>
    <row r="98" spans="1:25" x14ac:dyDescent="0.3">
      <c r="A98" s="24"/>
      <c r="B98" s="24"/>
      <c r="C98" s="24"/>
      <c r="D98" s="24"/>
      <c r="E98" s="24"/>
      <c r="F98" s="24"/>
      <c r="G98" s="24"/>
      <c r="H98" s="24"/>
      <c r="I98" s="24"/>
      <c r="J98" s="24"/>
      <c r="K98" s="24"/>
      <c r="L98" s="24"/>
      <c r="M98" s="24"/>
      <c r="N98" s="24"/>
      <c r="O98" s="24"/>
      <c r="P98" s="24"/>
      <c r="Q98" s="24"/>
      <c r="R98" s="24"/>
      <c r="S98" s="24"/>
      <c r="T98" s="24"/>
      <c r="U98" s="24"/>
      <c r="V98" s="24"/>
      <c r="W98" s="24"/>
      <c r="X98" s="24"/>
      <c r="Y98" s="24"/>
    </row>
    <row r="99" spans="1:25" x14ac:dyDescent="0.3">
      <c r="A99" s="24"/>
      <c r="B99" s="24"/>
      <c r="C99" s="24"/>
      <c r="D99" s="24"/>
      <c r="E99" s="24"/>
      <c r="F99" s="24"/>
      <c r="G99" s="24"/>
      <c r="H99" s="24"/>
      <c r="I99" s="24"/>
      <c r="J99" s="24"/>
      <c r="K99" s="24"/>
      <c r="L99" s="24"/>
      <c r="M99" s="24"/>
      <c r="N99" s="24"/>
      <c r="O99" s="24"/>
      <c r="P99" s="24"/>
      <c r="Q99" s="24"/>
      <c r="R99" s="24"/>
      <c r="S99" s="24"/>
      <c r="T99" s="24"/>
      <c r="U99" s="24"/>
      <c r="V99" s="24"/>
      <c r="W99" s="24"/>
      <c r="X99" s="24"/>
      <c r="Y99" s="24"/>
    </row>
    <row r="100" spans="1:25" x14ac:dyDescent="0.3">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row>
    <row r="101" spans="1:25" x14ac:dyDescent="0.3">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row>
    <row r="102" spans="1:25" x14ac:dyDescent="0.3">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row>
    <row r="103" spans="1:25" x14ac:dyDescent="0.3">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row>
    <row r="104" spans="1:25" x14ac:dyDescent="0.3">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row>
    <row r="105" spans="1:25" x14ac:dyDescent="0.3">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row>
    <row r="106" spans="1:25" x14ac:dyDescent="0.3">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row>
    <row r="107" spans="1:25" x14ac:dyDescent="0.3">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row>
    <row r="108" spans="1:25" x14ac:dyDescent="0.3">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row>
    <row r="109" spans="1:25" x14ac:dyDescent="0.3">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row>
    <row r="110" spans="1:25" x14ac:dyDescent="0.3">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row>
    <row r="111" spans="1:25" x14ac:dyDescent="0.3">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row>
    <row r="112" spans="1:25" x14ac:dyDescent="0.3">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row>
    <row r="113" spans="1:25" x14ac:dyDescent="0.3">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row>
    <row r="114" spans="1:25" x14ac:dyDescent="0.3">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row>
    <row r="115" spans="1:25" x14ac:dyDescent="0.3">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row>
    <row r="116" spans="1:25" x14ac:dyDescent="0.3">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row>
    <row r="117" spans="1:25" x14ac:dyDescent="0.3">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row>
    <row r="118" spans="1:25" x14ac:dyDescent="0.3">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row>
    <row r="119" spans="1:25" x14ac:dyDescent="0.3">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row>
    <row r="120" spans="1:25" x14ac:dyDescent="0.3">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row>
    <row r="121" spans="1:25" x14ac:dyDescent="0.3">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row>
    <row r="122" spans="1:25" x14ac:dyDescent="0.3">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row>
    <row r="123" spans="1:25" x14ac:dyDescent="0.3">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row>
    <row r="124" spans="1:25" x14ac:dyDescent="0.3">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row>
    <row r="125" spans="1:25" x14ac:dyDescent="0.3">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row>
    <row r="126" spans="1:25" x14ac:dyDescent="0.3">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row>
    <row r="127" spans="1:25" x14ac:dyDescent="0.3">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row>
    <row r="128" spans="1:25" x14ac:dyDescent="0.3">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row>
    <row r="129" spans="1:25" x14ac:dyDescent="0.3">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row>
    <row r="130" spans="1:25" x14ac:dyDescent="0.3">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row>
    <row r="131" spans="1:25" x14ac:dyDescent="0.3">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row>
    <row r="132" spans="1:25" x14ac:dyDescent="0.3">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row>
    <row r="133" spans="1:25" x14ac:dyDescent="0.3">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row>
    <row r="134" spans="1:25" x14ac:dyDescent="0.3">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row>
    <row r="135" spans="1:25" x14ac:dyDescent="0.3">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row>
    <row r="136" spans="1:25" x14ac:dyDescent="0.3">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row>
    <row r="137" spans="1:25" x14ac:dyDescent="0.3">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row>
    <row r="138" spans="1:25" x14ac:dyDescent="0.3">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row>
    <row r="139" spans="1:25" x14ac:dyDescent="0.3">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row>
    <row r="140" spans="1:25" x14ac:dyDescent="0.3">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row>
    <row r="141" spans="1:25" x14ac:dyDescent="0.3">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row>
    <row r="142" spans="1:25" x14ac:dyDescent="0.3">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row>
    <row r="143" spans="1:25" x14ac:dyDescent="0.3">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row>
    <row r="144" spans="1:25" x14ac:dyDescent="0.3">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row>
    <row r="145" spans="1:25" x14ac:dyDescent="0.3">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row>
    <row r="146" spans="1:25" x14ac:dyDescent="0.3">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row>
    <row r="147" spans="1:25" x14ac:dyDescent="0.3">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row>
    <row r="148" spans="1:25" x14ac:dyDescent="0.3">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row>
    <row r="149" spans="1:25" x14ac:dyDescent="0.3">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row>
    <row r="150" spans="1:25" x14ac:dyDescent="0.3">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row>
    <row r="151" spans="1:25" x14ac:dyDescent="0.3">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row>
    <row r="152" spans="1:25" x14ac:dyDescent="0.3">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row>
    <row r="153" spans="1:25" x14ac:dyDescent="0.3">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row>
    <row r="154" spans="1:25" x14ac:dyDescent="0.3">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row>
    <row r="155" spans="1:25" x14ac:dyDescent="0.3">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row>
    <row r="156" spans="1:25" x14ac:dyDescent="0.3">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row>
    <row r="157" spans="1:25" x14ac:dyDescent="0.3">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row>
    <row r="158" spans="1:25" x14ac:dyDescent="0.3">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row>
    <row r="159" spans="1:25" x14ac:dyDescent="0.3">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row>
    <row r="160" spans="1:25" x14ac:dyDescent="0.3">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row>
    <row r="161" spans="1:25" x14ac:dyDescent="0.3">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row>
    <row r="162" spans="1:25" x14ac:dyDescent="0.3">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row>
    <row r="163" spans="1:25" x14ac:dyDescent="0.3">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row>
    <row r="164" spans="1:25" x14ac:dyDescent="0.3">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row>
    <row r="165" spans="1:25" x14ac:dyDescent="0.3">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row>
    <row r="166" spans="1:25" x14ac:dyDescent="0.3">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row>
    <row r="167" spans="1:25" x14ac:dyDescent="0.3">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row>
  </sheetData>
  <sortState xmlns:xlrd2="http://schemas.microsoft.com/office/spreadsheetml/2017/richdata2" ref="A5:X40">
    <sortCondition ref="A5:A40"/>
  </sortState>
  <mergeCells count="6">
    <mergeCell ref="A47:C47"/>
    <mergeCell ref="R1:T1"/>
    <mergeCell ref="B2:C2"/>
    <mergeCell ref="O2:Q2"/>
    <mergeCell ref="S2:T2"/>
    <mergeCell ref="I2:J2"/>
  </mergeCells>
  <pageMargins left="0.7" right="0.7" top="0.75" bottom="0.75" header="0.3" footer="0.3"/>
  <pageSetup orientation="portrait" r:id="rId1"/>
  <ignoredErrors>
    <ignoredError sqref="U34" formula="1"/>
    <ignoredError sqref="U38 U27 U30" formulaRange="1"/>
  </ignoredErrors>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19466-1425-4621-97A5-C28784085218}">
  <dimension ref="A1:P40"/>
  <sheetViews>
    <sheetView zoomScale="80" zoomScaleNormal="80" workbookViewId="0">
      <pane xSplit="1" ySplit="1" topLeftCell="G2" activePane="bottomRight" state="frozen"/>
      <selection pane="topRight" activeCell="B1" sqref="B1"/>
      <selection pane="bottomLeft" activeCell="A2" sqref="A2"/>
      <selection pane="bottomRight" activeCell="A2" sqref="A2"/>
    </sheetView>
  </sheetViews>
  <sheetFormatPr defaultColWidth="8.7265625" defaultRowHeight="16" x14ac:dyDescent="0.35"/>
  <cols>
    <col min="1" max="1" width="39.54296875" style="43" customWidth="1"/>
    <col min="2" max="2" width="19.81640625" customWidth="1"/>
    <col min="3" max="3" width="28.1796875" customWidth="1"/>
    <col min="4" max="4" width="20.453125" customWidth="1"/>
    <col min="5" max="5" width="29.7265625" customWidth="1"/>
    <col min="6" max="6" width="20.453125" customWidth="1"/>
    <col min="7" max="7" width="46.453125" customWidth="1"/>
    <col min="8" max="8" width="40.26953125" customWidth="1"/>
    <col min="9" max="9" width="26" customWidth="1"/>
    <col min="10" max="10" width="20.453125" customWidth="1"/>
    <col min="11" max="11" width="28.26953125" customWidth="1"/>
    <col min="12" max="12" width="25" customWidth="1"/>
    <col min="13" max="14" width="26.26953125" customWidth="1"/>
    <col min="15" max="15" width="26.453125" customWidth="1"/>
    <col min="16" max="16" width="15.26953125" customWidth="1"/>
  </cols>
  <sheetData>
    <row r="1" spans="1:16" s="1" customFormat="1" ht="108.5" x14ac:dyDescent="0.35">
      <c r="A1" s="57" t="s">
        <v>37</v>
      </c>
      <c r="B1" s="56" t="s">
        <v>7</v>
      </c>
      <c r="C1" s="56" t="s">
        <v>8</v>
      </c>
      <c r="D1" s="55" t="s">
        <v>34</v>
      </c>
      <c r="E1" s="55" t="s">
        <v>9</v>
      </c>
      <c r="F1" s="53" t="s">
        <v>10</v>
      </c>
      <c r="G1" s="54" t="s">
        <v>11</v>
      </c>
      <c r="H1" s="53" t="s">
        <v>12</v>
      </c>
      <c r="I1" s="54" t="s">
        <v>35</v>
      </c>
      <c r="J1" s="53" t="s">
        <v>13</v>
      </c>
      <c r="K1" s="52" t="s">
        <v>36</v>
      </c>
      <c r="L1" s="51" t="s">
        <v>14</v>
      </c>
      <c r="M1" s="51" t="s">
        <v>15</v>
      </c>
      <c r="N1" s="51" t="s">
        <v>25</v>
      </c>
      <c r="O1" s="50" t="s">
        <v>16</v>
      </c>
      <c r="P1" s="19"/>
    </row>
    <row r="2" spans="1:16" ht="70" x14ac:dyDescent="0.35">
      <c r="A2" s="67" t="s">
        <v>39</v>
      </c>
      <c r="B2" s="65" t="s">
        <v>116</v>
      </c>
      <c r="C2" s="29" t="s">
        <v>169</v>
      </c>
      <c r="D2" s="29" t="s">
        <v>168</v>
      </c>
      <c r="E2" s="29" t="s">
        <v>297</v>
      </c>
      <c r="F2" s="29" t="s">
        <v>184</v>
      </c>
      <c r="G2" s="29" t="s">
        <v>378</v>
      </c>
      <c r="H2" s="29" t="s">
        <v>290</v>
      </c>
      <c r="I2" s="29" t="s">
        <v>379</v>
      </c>
      <c r="J2" s="29" t="s">
        <v>296</v>
      </c>
      <c r="K2" s="29" t="s">
        <v>295</v>
      </c>
      <c r="L2" s="29" t="s">
        <v>380</v>
      </c>
      <c r="M2" s="29" t="s">
        <v>287</v>
      </c>
      <c r="N2" s="29" t="s">
        <v>381</v>
      </c>
      <c r="O2" s="17"/>
    </row>
    <row r="3" spans="1:16" ht="56" x14ac:dyDescent="0.35">
      <c r="A3" s="40" t="s">
        <v>40</v>
      </c>
      <c r="B3" s="47" t="s">
        <v>116</v>
      </c>
      <c r="C3" s="29" t="s">
        <v>169</v>
      </c>
      <c r="D3" s="29" t="s">
        <v>168</v>
      </c>
      <c r="E3" s="29" t="s">
        <v>208</v>
      </c>
      <c r="F3" s="29" t="s">
        <v>184</v>
      </c>
      <c r="G3" s="29" t="s">
        <v>294</v>
      </c>
      <c r="H3" s="29" t="s">
        <v>290</v>
      </c>
      <c r="I3" s="29" t="s">
        <v>379</v>
      </c>
      <c r="J3" s="29" t="s">
        <v>293</v>
      </c>
      <c r="K3" s="29" t="s">
        <v>292</v>
      </c>
      <c r="L3" s="29" t="s">
        <v>380</v>
      </c>
      <c r="M3" s="29" t="s">
        <v>287</v>
      </c>
      <c r="N3" s="29">
        <v>2</v>
      </c>
      <c r="O3" s="17"/>
    </row>
    <row r="4" spans="1:16" ht="72.75" customHeight="1" x14ac:dyDescent="0.35">
      <c r="A4" s="40" t="s">
        <v>41</v>
      </c>
      <c r="B4" s="47" t="s">
        <v>116</v>
      </c>
      <c r="C4" s="29" t="s">
        <v>169</v>
      </c>
      <c r="D4" s="29" t="s">
        <v>168</v>
      </c>
      <c r="E4" s="29" t="s">
        <v>291</v>
      </c>
      <c r="F4" s="29" t="s">
        <v>184</v>
      </c>
      <c r="G4" s="29" t="s">
        <v>382</v>
      </c>
      <c r="H4" s="29" t="s">
        <v>290</v>
      </c>
      <c r="I4" s="29" t="s">
        <v>379</v>
      </c>
      <c r="J4" s="29" t="s">
        <v>289</v>
      </c>
      <c r="K4" s="29" t="s">
        <v>288</v>
      </c>
      <c r="L4" s="29" t="s">
        <v>380</v>
      </c>
      <c r="M4" s="29" t="s">
        <v>287</v>
      </c>
      <c r="N4" s="29" t="s">
        <v>383</v>
      </c>
      <c r="O4" s="17"/>
    </row>
    <row r="5" spans="1:16" ht="42.5" x14ac:dyDescent="0.35">
      <c r="A5" s="40" t="s">
        <v>42</v>
      </c>
      <c r="B5" s="47" t="s">
        <v>116</v>
      </c>
      <c r="C5" s="48" t="s">
        <v>169</v>
      </c>
      <c r="D5" s="48" t="s">
        <v>184</v>
      </c>
      <c r="E5" s="48"/>
      <c r="F5" s="48"/>
      <c r="G5" s="48"/>
      <c r="H5" s="48" t="s">
        <v>286</v>
      </c>
      <c r="I5" s="29" t="s">
        <v>104</v>
      </c>
      <c r="J5" s="48" t="s">
        <v>285</v>
      </c>
      <c r="K5" s="48" t="s">
        <v>284</v>
      </c>
      <c r="L5" s="48" t="s">
        <v>374</v>
      </c>
      <c r="M5" s="48" t="s">
        <v>376</v>
      </c>
      <c r="N5" s="29">
        <v>9</v>
      </c>
      <c r="O5" s="58" t="s">
        <v>377</v>
      </c>
    </row>
    <row r="6" spans="1:16" ht="54.75" customHeight="1" x14ac:dyDescent="0.35">
      <c r="A6" s="68" t="s">
        <v>107</v>
      </c>
      <c r="B6" s="47" t="s">
        <v>117</v>
      </c>
      <c r="C6" s="48" t="s">
        <v>283</v>
      </c>
      <c r="D6" s="48" t="s">
        <v>168</v>
      </c>
      <c r="E6" s="48" t="s">
        <v>282</v>
      </c>
      <c r="F6" s="48" t="s">
        <v>184</v>
      </c>
      <c r="G6" s="48" t="s">
        <v>281</v>
      </c>
      <c r="H6" s="48" t="s">
        <v>280</v>
      </c>
      <c r="I6" s="48" t="s">
        <v>319</v>
      </c>
      <c r="J6" s="48" t="s">
        <v>279</v>
      </c>
      <c r="K6" s="48" t="s">
        <v>278</v>
      </c>
      <c r="L6" s="48" t="s">
        <v>320</v>
      </c>
      <c r="M6" s="48" t="s">
        <v>277</v>
      </c>
      <c r="N6" s="48">
        <v>1</v>
      </c>
      <c r="O6" s="17"/>
    </row>
    <row r="7" spans="1:16" ht="56" x14ac:dyDescent="0.35">
      <c r="A7" s="40" t="s">
        <v>115</v>
      </c>
      <c r="B7" s="47" t="s">
        <v>116</v>
      </c>
      <c r="C7" s="48" t="s">
        <v>169</v>
      </c>
      <c r="D7" s="48" t="s">
        <v>168</v>
      </c>
      <c r="E7" s="48" t="s">
        <v>276</v>
      </c>
      <c r="F7" s="48" t="s">
        <v>184</v>
      </c>
      <c r="G7" s="48" t="s">
        <v>275</v>
      </c>
      <c r="H7" s="48" t="s">
        <v>309</v>
      </c>
      <c r="I7" s="48" t="s">
        <v>168</v>
      </c>
      <c r="J7" s="48" t="s">
        <v>274</v>
      </c>
      <c r="K7" s="48" t="s">
        <v>168</v>
      </c>
      <c r="L7" s="48" t="s">
        <v>184</v>
      </c>
      <c r="M7" s="48" t="s">
        <v>298</v>
      </c>
      <c r="N7" s="48">
        <v>3</v>
      </c>
      <c r="O7" s="17"/>
    </row>
    <row r="8" spans="1:16" ht="84.75" customHeight="1" x14ac:dyDescent="0.35">
      <c r="A8" s="40" t="s">
        <v>43</v>
      </c>
      <c r="B8" s="49" t="s">
        <v>116</v>
      </c>
      <c r="C8" s="48" t="s">
        <v>169</v>
      </c>
      <c r="D8" s="48" t="s">
        <v>105</v>
      </c>
      <c r="E8" s="48" t="s">
        <v>169</v>
      </c>
      <c r="F8" s="48" t="s">
        <v>169</v>
      </c>
      <c r="G8" s="48" t="s">
        <v>169</v>
      </c>
      <c r="H8" s="48" t="s">
        <v>105</v>
      </c>
      <c r="I8" s="48" t="s">
        <v>104</v>
      </c>
      <c r="J8" s="48" t="s">
        <v>348</v>
      </c>
      <c r="K8" s="48" t="s">
        <v>349</v>
      </c>
      <c r="L8" s="48" t="s">
        <v>350</v>
      </c>
      <c r="M8" s="48" t="s">
        <v>299</v>
      </c>
      <c r="N8" s="48">
        <v>1</v>
      </c>
      <c r="O8" s="17"/>
    </row>
    <row r="9" spans="1:16" ht="56" x14ac:dyDescent="0.35">
      <c r="A9" s="40" t="s">
        <v>44</v>
      </c>
      <c r="B9" s="49" t="s">
        <v>117</v>
      </c>
      <c r="C9" s="48" t="str">
        <f>[1]SH!C9</f>
        <v>Concordia Hospital</v>
      </c>
      <c r="D9" s="48" t="str">
        <f>[1]SH!D9</f>
        <v>Yes</v>
      </c>
      <c r="E9" s="48" t="str">
        <f>[1]SH!E9</f>
        <v>545KW</v>
      </c>
      <c r="F9" s="48" t="str">
        <f>[1]SH!F9</f>
        <v>No</v>
      </c>
      <c r="G9" s="48" t="str">
        <f>[1]SH!G9</f>
        <v>Located in Concordia Hospital Mezzanine, feeds emergency panels in CP supporting critical infrastructure and basic lighting. Note, the generator supports both CP and CH N1</v>
      </c>
      <c r="H9" s="48" t="str">
        <f>[1]SH!H9</f>
        <v>All heat is provided by Concordia Hospital steam boiler system. The boilers can run on fuel oil or natural gas.</v>
      </c>
      <c r="I9" s="48" t="str">
        <f>[1]SH!I9</f>
        <v>YES</v>
      </c>
      <c r="J9" s="48" t="str">
        <f>[1]SH!J9</f>
        <v>204-661-7372</v>
      </c>
      <c r="K9" s="48" t="str">
        <f>[1]SH!K9</f>
        <v>No</v>
      </c>
      <c r="L9" s="48" t="str">
        <f>[1]SH!L9</f>
        <v>Shift Engineers and Security hold 2-way radios.</v>
      </c>
      <c r="M9" s="48" t="str">
        <f>[1]SH!M9</f>
        <v>Kyla Gilmour, Director Health Services</v>
      </c>
      <c r="N9" s="48" t="str">
        <f>[1]SH!N9</f>
        <v>4 (excluding basement floor)</v>
      </c>
      <c r="O9" s="17"/>
    </row>
    <row r="10" spans="1:16" ht="70" x14ac:dyDescent="0.35">
      <c r="A10" s="40" t="s">
        <v>45</v>
      </c>
      <c r="B10" s="49" t="s">
        <v>116</v>
      </c>
      <c r="C10" s="48" t="s">
        <v>169</v>
      </c>
      <c r="D10" s="48" t="s">
        <v>168</v>
      </c>
      <c r="E10" s="48" t="s">
        <v>273</v>
      </c>
      <c r="F10" s="48" t="s">
        <v>325</v>
      </c>
      <c r="G10" s="48" t="s">
        <v>272</v>
      </c>
      <c r="H10" s="48" t="s">
        <v>271</v>
      </c>
      <c r="I10" s="48" t="s">
        <v>168</v>
      </c>
      <c r="J10" s="48" t="s">
        <v>270</v>
      </c>
      <c r="K10" s="48" t="s">
        <v>197</v>
      </c>
      <c r="L10" s="48" t="s">
        <v>322</v>
      </c>
      <c r="M10" s="48" t="s">
        <v>323</v>
      </c>
      <c r="N10" s="48" t="s">
        <v>324</v>
      </c>
      <c r="O10" s="17"/>
    </row>
    <row r="11" spans="1:16" ht="70" x14ac:dyDescent="0.35">
      <c r="A11" s="40" t="s">
        <v>114</v>
      </c>
      <c r="B11" s="49" t="s">
        <v>117</v>
      </c>
      <c r="C11" s="48" t="s">
        <v>269</v>
      </c>
      <c r="D11" s="48" t="s">
        <v>168</v>
      </c>
      <c r="E11" s="48"/>
      <c r="F11" s="48" t="s">
        <v>168</v>
      </c>
      <c r="G11" s="48"/>
      <c r="H11" s="48"/>
      <c r="I11" s="48"/>
      <c r="J11" s="48" t="s">
        <v>268</v>
      </c>
      <c r="K11" s="48" t="s">
        <v>267</v>
      </c>
      <c r="L11" s="48"/>
      <c r="M11" s="48" t="s">
        <v>266</v>
      </c>
      <c r="N11" s="48">
        <v>2</v>
      </c>
      <c r="O11" s="17"/>
    </row>
    <row r="12" spans="1:16" ht="28" x14ac:dyDescent="0.35">
      <c r="A12" s="40" t="s">
        <v>46</v>
      </c>
      <c r="B12" s="47" t="s">
        <v>116</v>
      </c>
      <c r="C12" s="48" t="s">
        <v>169</v>
      </c>
      <c r="D12" s="48" t="s">
        <v>168</v>
      </c>
      <c r="E12" s="48" t="s">
        <v>326</v>
      </c>
      <c r="F12" s="48" t="s">
        <v>168</v>
      </c>
      <c r="G12" s="48" t="s">
        <v>265</v>
      </c>
      <c r="H12" s="48" t="s">
        <v>264</v>
      </c>
      <c r="I12" s="48" t="s">
        <v>168</v>
      </c>
      <c r="J12" s="48" t="s">
        <v>263</v>
      </c>
      <c r="K12" s="48" t="s">
        <v>168</v>
      </c>
      <c r="L12" s="48" t="s">
        <v>184</v>
      </c>
      <c r="M12" s="48" t="s">
        <v>262</v>
      </c>
      <c r="N12" s="48">
        <v>3</v>
      </c>
      <c r="O12" s="17"/>
    </row>
    <row r="13" spans="1:16" ht="56" x14ac:dyDescent="0.35">
      <c r="A13" s="40" t="s">
        <v>47</v>
      </c>
      <c r="B13" s="47" t="s">
        <v>116</v>
      </c>
      <c r="C13" s="48" t="s">
        <v>169</v>
      </c>
      <c r="D13" s="48" t="s">
        <v>168</v>
      </c>
      <c r="E13" s="48">
        <v>192</v>
      </c>
      <c r="F13" s="48" t="s">
        <v>168</v>
      </c>
      <c r="G13" s="48"/>
      <c r="H13" s="48" t="s">
        <v>384</v>
      </c>
      <c r="I13" s="48" t="s">
        <v>104</v>
      </c>
      <c r="J13" s="48" t="s">
        <v>261</v>
      </c>
      <c r="K13" s="48" t="s">
        <v>385</v>
      </c>
      <c r="L13" s="48" t="s">
        <v>184</v>
      </c>
      <c r="M13" s="48" t="s">
        <v>300</v>
      </c>
      <c r="N13" s="48" t="s">
        <v>386</v>
      </c>
      <c r="O13" s="17"/>
    </row>
    <row r="14" spans="1:16" ht="28" x14ac:dyDescent="0.35">
      <c r="A14" s="40" t="s">
        <v>48</v>
      </c>
      <c r="B14" s="47" t="str">
        <f>[2]SH!B14</f>
        <v>Yes</v>
      </c>
      <c r="C14" s="48" t="str">
        <f>[2]SH!C14</f>
        <v>Apartment Block</v>
      </c>
      <c r="D14" s="48" t="str">
        <f>[2]SH!D14</f>
        <v>Yes, for partial services</v>
      </c>
      <c r="E14" s="48" t="str">
        <f>[2]SH!E14</f>
        <v>150 Kw</v>
      </c>
      <c r="F14" s="48" t="str">
        <f>[2]SH!F14</f>
        <v>PCH only</v>
      </c>
      <c r="G14" s="48" t="str">
        <f>[2]SH!G14</f>
        <v>N/A</v>
      </c>
      <c r="H14" s="48" t="str">
        <f>[2]SH!H14</f>
        <v>No alternative</v>
      </c>
      <c r="I14" s="48" t="str">
        <f>[2]SH!I14</f>
        <v>N (PFLS underway to be completed at end 2028)</v>
      </c>
      <c r="J14" s="48" t="str">
        <f>[2]SH!J14</f>
        <v>204-586-8541</v>
      </c>
      <c r="K14" s="48" t="str">
        <f>[2]SH!K14</f>
        <v>Yes</v>
      </c>
      <c r="L14" s="48" t="str">
        <f>[2]SH!L14</f>
        <v>Two way radios</v>
      </c>
      <c r="M14" s="48" t="str">
        <f>[2]SH!M14</f>
        <v>Greg Reid, Chief Executive Officer</v>
      </c>
      <c r="N14" s="48" t="str">
        <f>[2]SH!N14</f>
        <v>2 (part of the facility)</v>
      </c>
      <c r="O14" s="17"/>
    </row>
    <row r="15" spans="1:16" ht="70" x14ac:dyDescent="0.35">
      <c r="A15" s="40" t="s">
        <v>49</v>
      </c>
      <c r="B15" s="47" t="s">
        <v>116</v>
      </c>
      <c r="C15" s="48" t="s">
        <v>169</v>
      </c>
      <c r="D15" s="48" t="s">
        <v>184</v>
      </c>
      <c r="E15" s="48"/>
      <c r="F15" s="48"/>
      <c r="G15" s="48" t="s">
        <v>260</v>
      </c>
      <c r="H15" s="48" t="s">
        <v>184</v>
      </c>
      <c r="I15" s="48" t="s">
        <v>104</v>
      </c>
      <c r="J15" s="48" t="s">
        <v>259</v>
      </c>
      <c r="K15" s="48" t="s">
        <v>258</v>
      </c>
      <c r="L15" s="48" t="s">
        <v>374</v>
      </c>
      <c r="M15" s="48" t="s">
        <v>257</v>
      </c>
      <c r="N15" s="48">
        <v>1</v>
      </c>
      <c r="O15" s="17"/>
    </row>
    <row r="16" spans="1:16" ht="70" x14ac:dyDescent="0.35">
      <c r="A16" s="40" t="s">
        <v>50</v>
      </c>
      <c r="B16" s="47" t="s">
        <v>116</v>
      </c>
      <c r="C16" s="48" t="s">
        <v>169</v>
      </c>
      <c r="D16" s="48" t="s">
        <v>168</v>
      </c>
      <c r="E16" s="48">
        <v>300</v>
      </c>
      <c r="F16" s="48" t="s">
        <v>105</v>
      </c>
      <c r="G16" s="48" t="s">
        <v>256</v>
      </c>
      <c r="H16" s="48" t="s">
        <v>255</v>
      </c>
      <c r="I16" s="48" t="s">
        <v>104</v>
      </c>
      <c r="J16" s="48" t="s">
        <v>254</v>
      </c>
      <c r="K16" s="48" t="s">
        <v>104</v>
      </c>
      <c r="L16" s="48" t="s">
        <v>104</v>
      </c>
      <c r="M16" s="48" t="s">
        <v>375</v>
      </c>
      <c r="N16" s="48">
        <v>2</v>
      </c>
      <c r="O16" s="17"/>
    </row>
    <row r="17" spans="1:15" ht="70" x14ac:dyDescent="0.35">
      <c r="A17" s="40" t="s">
        <v>51</v>
      </c>
      <c r="B17" s="47" t="s">
        <v>116</v>
      </c>
      <c r="C17" s="48" t="s">
        <v>169</v>
      </c>
      <c r="D17" s="48" t="s">
        <v>168</v>
      </c>
      <c r="E17" s="48" t="s">
        <v>253</v>
      </c>
      <c r="F17" s="48" t="s">
        <v>184</v>
      </c>
      <c r="G17" s="48" t="s">
        <v>252</v>
      </c>
      <c r="H17" s="48" t="s">
        <v>251</v>
      </c>
      <c r="I17" s="48" t="s">
        <v>168</v>
      </c>
      <c r="J17" s="48" t="s">
        <v>250</v>
      </c>
      <c r="K17" s="48" t="s">
        <v>249</v>
      </c>
      <c r="L17" s="48" t="s">
        <v>310</v>
      </c>
      <c r="M17" s="48" t="s">
        <v>311</v>
      </c>
      <c r="N17" s="48">
        <v>5</v>
      </c>
      <c r="O17" s="17"/>
    </row>
    <row r="18" spans="1:15" ht="28" x14ac:dyDescent="0.35">
      <c r="A18" s="40" t="s">
        <v>52</v>
      </c>
      <c r="B18" s="47" t="s">
        <v>116</v>
      </c>
      <c r="C18" s="48" t="s">
        <v>169</v>
      </c>
      <c r="D18" s="48" t="s">
        <v>184</v>
      </c>
      <c r="E18" s="48"/>
      <c r="F18" s="48"/>
      <c r="G18" s="48"/>
      <c r="H18" s="48" t="s">
        <v>184</v>
      </c>
      <c r="I18" s="48" t="s">
        <v>168</v>
      </c>
      <c r="J18" s="48" t="s">
        <v>248</v>
      </c>
      <c r="K18" s="48" t="s">
        <v>247</v>
      </c>
      <c r="L18" s="48"/>
      <c r="M18" s="48" t="s">
        <v>301</v>
      </c>
      <c r="N18" s="48">
        <v>2</v>
      </c>
      <c r="O18" s="17"/>
    </row>
    <row r="19" spans="1:15" ht="112.5" customHeight="1" x14ac:dyDescent="0.35">
      <c r="A19" s="40" t="s">
        <v>53</v>
      </c>
      <c r="B19" s="47" t="s">
        <v>117</v>
      </c>
      <c r="C19" s="48" t="str">
        <f>[3]SH!C19</f>
        <v>Holy Family Home Tower (EPH)</v>
      </c>
      <c r="D19" s="48" t="str">
        <f>[3]SH!D19</f>
        <v>Yes</v>
      </c>
      <c r="E19" s="48" t="str">
        <f>[3]SH!E19</f>
        <v>600KW</v>
      </c>
      <c r="F19" s="48" t="str">
        <f>[3]SH!F19</f>
        <v xml:space="preserve">essential services </v>
      </c>
      <c r="G19" s="48" t="str">
        <f>[3]SH!G19</f>
        <v>limited generator power in building B</v>
      </c>
      <c r="H19" s="48" t="s">
        <v>362</v>
      </c>
      <c r="I19" s="48" t="str">
        <f>[3]SH!I19</f>
        <v>N</v>
      </c>
      <c r="J19" s="48" t="str">
        <f>[3]SH!J19</f>
        <v>204-589-7381</v>
      </c>
      <c r="K19" s="48" t="str">
        <f>[3]SH!K19</f>
        <v>yes</v>
      </c>
      <c r="L19" s="48" t="str">
        <f>[3]SH!L19</f>
        <v>cell phone</v>
      </c>
      <c r="M19" s="48" t="str">
        <f>[3]SH!M19</f>
        <v>Angela Peeler, CEO</v>
      </c>
      <c r="N19" s="48">
        <f>[3]SH!N19</f>
        <v>5</v>
      </c>
      <c r="O19" s="17" t="str">
        <f>[3]SH!O19</f>
        <v xml:space="preserve">3 buildings in total </v>
      </c>
    </row>
    <row r="20" spans="1:15" ht="84" x14ac:dyDescent="0.35">
      <c r="A20" s="40" t="s">
        <v>113</v>
      </c>
      <c r="B20" s="47" t="s">
        <v>116</v>
      </c>
      <c r="C20" s="48" t="s">
        <v>169</v>
      </c>
      <c r="D20" s="48" t="s">
        <v>168</v>
      </c>
      <c r="E20" s="48" t="s">
        <v>246</v>
      </c>
      <c r="F20" s="48" t="s">
        <v>168</v>
      </c>
      <c r="G20" s="48" t="s">
        <v>245</v>
      </c>
      <c r="H20" s="48" t="s">
        <v>244</v>
      </c>
      <c r="I20" s="48" t="s">
        <v>168</v>
      </c>
      <c r="J20" s="48" t="s">
        <v>243</v>
      </c>
      <c r="K20" s="48" t="s">
        <v>242</v>
      </c>
      <c r="L20" s="48" t="s">
        <v>184</v>
      </c>
      <c r="M20" s="48" t="s">
        <v>302</v>
      </c>
      <c r="N20" s="48">
        <v>3</v>
      </c>
      <c r="O20" s="17"/>
    </row>
    <row r="21" spans="1:15" ht="56.5" x14ac:dyDescent="0.35">
      <c r="A21" s="40" t="s">
        <v>112</v>
      </c>
      <c r="B21" s="60" t="s">
        <v>117</v>
      </c>
      <c r="C21" s="61" t="s">
        <v>338</v>
      </c>
      <c r="D21" s="61" t="s">
        <v>168</v>
      </c>
      <c r="E21" s="62"/>
      <c r="F21" s="61" t="s">
        <v>168</v>
      </c>
      <c r="G21" s="62"/>
      <c r="H21" s="62"/>
      <c r="I21" s="61" t="s">
        <v>213</v>
      </c>
      <c r="J21" s="61" t="s">
        <v>339</v>
      </c>
      <c r="K21" s="61" t="s">
        <v>168</v>
      </c>
      <c r="L21" s="61" t="s">
        <v>168</v>
      </c>
      <c r="M21" s="61" t="s">
        <v>340</v>
      </c>
      <c r="N21" s="61" t="s">
        <v>341</v>
      </c>
      <c r="O21" s="58" t="s">
        <v>342</v>
      </c>
    </row>
    <row r="22" spans="1:15" ht="28" x14ac:dyDescent="0.35">
      <c r="A22" s="40" t="s">
        <v>54</v>
      </c>
      <c r="B22" s="47" t="s">
        <v>116</v>
      </c>
      <c r="C22" s="48" t="s">
        <v>169</v>
      </c>
      <c r="D22" s="48" t="s">
        <v>168</v>
      </c>
      <c r="E22" s="48" t="s">
        <v>241</v>
      </c>
      <c r="F22" s="48" t="s">
        <v>168</v>
      </c>
      <c r="G22" s="48" t="s">
        <v>240</v>
      </c>
      <c r="H22" s="48" t="s">
        <v>105</v>
      </c>
      <c r="I22" s="48" t="s">
        <v>105</v>
      </c>
      <c r="J22" s="48" t="s">
        <v>239</v>
      </c>
      <c r="K22" s="48" t="s">
        <v>168</v>
      </c>
      <c r="L22" s="48" t="s">
        <v>312</v>
      </c>
      <c r="M22" s="48" t="s">
        <v>238</v>
      </c>
      <c r="N22" s="48">
        <v>1</v>
      </c>
      <c r="O22" s="17"/>
    </row>
    <row r="23" spans="1:15" ht="56" x14ac:dyDescent="0.35">
      <c r="A23" s="40" t="s">
        <v>55</v>
      </c>
      <c r="B23" s="47" t="s">
        <v>116</v>
      </c>
      <c r="C23" s="48" t="s">
        <v>169</v>
      </c>
      <c r="D23" s="48" t="s">
        <v>168</v>
      </c>
      <c r="E23" s="48" t="s">
        <v>237</v>
      </c>
      <c r="F23" s="48" t="s">
        <v>184</v>
      </c>
      <c r="G23" s="48" t="s">
        <v>236</v>
      </c>
      <c r="H23" s="48" t="s">
        <v>235</v>
      </c>
      <c r="I23" s="48" t="s">
        <v>168</v>
      </c>
      <c r="J23" s="48" t="s">
        <v>234</v>
      </c>
      <c r="K23" s="48" t="s">
        <v>233</v>
      </c>
      <c r="L23" s="48" t="s">
        <v>184</v>
      </c>
      <c r="M23" s="48" t="s">
        <v>303</v>
      </c>
      <c r="N23" s="48">
        <v>2</v>
      </c>
      <c r="O23" s="17"/>
    </row>
    <row r="24" spans="1:15" ht="28" x14ac:dyDescent="0.35">
      <c r="A24" s="40" t="s">
        <v>56</v>
      </c>
      <c r="B24" s="47" t="s">
        <v>117</v>
      </c>
      <c r="C24" s="48" t="s">
        <v>232</v>
      </c>
      <c r="D24" s="48" t="s">
        <v>168</v>
      </c>
      <c r="E24" s="48" t="s">
        <v>231</v>
      </c>
      <c r="F24" s="48" t="s">
        <v>184</v>
      </c>
      <c r="G24" s="48" t="s">
        <v>230</v>
      </c>
      <c r="H24" s="48" t="s">
        <v>229</v>
      </c>
      <c r="I24" s="48" t="s">
        <v>168</v>
      </c>
      <c r="J24" s="48" t="s">
        <v>228</v>
      </c>
      <c r="K24" s="48" t="s">
        <v>227</v>
      </c>
      <c r="L24" s="48" t="s">
        <v>313</v>
      </c>
      <c r="M24" s="48" t="s">
        <v>226</v>
      </c>
      <c r="N24" s="48">
        <v>10</v>
      </c>
      <c r="O24" s="17" t="s">
        <v>351</v>
      </c>
    </row>
    <row r="25" spans="1:15" ht="70" x14ac:dyDescent="0.35">
      <c r="A25" s="40" t="s">
        <v>57</v>
      </c>
      <c r="B25" s="47" t="s">
        <v>117</v>
      </c>
      <c r="C25" s="48" t="s">
        <v>225</v>
      </c>
      <c r="D25" s="48" t="s">
        <v>168</v>
      </c>
      <c r="E25" s="48" t="s">
        <v>331</v>
      </c>
      <c r="F25" s="48" t="s">
        <v>184</v>
      </c>
      <c r="G25" s="48" t="s">
        <v>224</v>
      </c>
      <c r="H25" s="48" t="s">
        <v>223</v>
      </c>
      <c r="I25" s="48" t="s">
        <v>168</v>
      </c>
      <c r="J25" s="48" t="s">
        <v>222</v>
      </c>
      <c r="K25" s="48" t="s">
        <v>197</v>
      </c>
      <c r="L25" s="48" t="s">
        <v>332</v>
      </c>
      <c r="M25" s="48" t="s">
        <v>333</v>
      </c>
      <c r="N25" s="48">
        <v>3</v>
      </c>
      <c r="O25" s="17"/>
    </row>
    <row r="26" spans="1:15" ht="56" x14ac:dyDescent="0.35">
      <c r="A26" s="40" t="s">
        <v>58</v>
      </c>
      <c r="B26" s="47" t="s">
        <v>116</v>
      </c>
      <c r="C26" s="48" t="s">
        <v>169</v>
      </c>
      <c r="D26" s="48" t="s">
        <v>168</v>
      </c>
      <c r="E26" s="48" t="s">
        <v>221</v>
      </c>
      <c r="F26" s="48" t="s">
        <v>184</v>
      </c>
      <c r="G26" s="48" t="s">
        <v>220</v>
      </c>
      <c r="H26" s="48" t="s">
        <v>184</v>
      </c>
      <c r="I26" s="48" t="s">
        <v>104</v>
      </c>
      <c r="J26" s="48" t="s">
        <v>219</v>
      </c>
      <c r="K26" s="48" t="s">
        <v>218</v>
      </c>
      <c r="L26" s="48" t="s">
        <v>184</v>
      </c>
      <c r="M26" s="48" t="s">
        <v>217</v>
      </c>
      <c r="N26" s="48">
        <v>2</v>
      </c>
      <c r="O26" s="17"/>
    </row>
    <row r="27" spans="1:15" ht="98.25" customHeight="1" x14ac:dyDescent="0.35">
      <c r="A27" s="68" t="s">
        <v>111</v>
      </c>
      <c r="B27" s="47" t="s">
        <v>117</v>
      </c>
      <c r="C27" s="48" t="s">
        <v>216</v>
      </c>
      <c r="D27" s="48" t="s">
        <v>168</v>
      </c>
      <c r="E27" s="48" t="s">
        <v>215</v>
      </c>
      <c r="F27" s="48" t="s">
        <v>168</v>
      </c>
      <c r="G27" s="48"/>
      <c r="H27" s="48" t="s">
        <v>280</v>
      </c>
      <c r="I27" s="48" t="s">
        <v>213</v>
      </c>
      <c r="J27" s="48" t="s">
        <v>214</v>
      </c>
      <c r="K27" s="48" t="s">
        <v>213</v>
      </c>
      <c r="L27" s="48" t="s">
        <v>320</v>
      </c>
      <c r="M27" s="48" t="s">
        <v>304</v>
      </c>
      <c r="N27" s="48">
        <v>2</v>
      </c>
      <c r="O27" s="58" t="s">
        <v>321</v>
      </c>
    </row>
    <row r="28" spans="1:15" ht="31" x14ac:dyDescent="0.35">
      <c r="A28" s="40" t="s">
        <v>59</v>
      </c>
      <c r="B28" s="47" t="s">
        <v>116</v>
      </c>
      <c r="C28" s="48" t="s">
        <v>169</v>
      </c>
      <c r="D28" s="48" t="s">
        <v>168</v>
      </c>
      <c r="E28" s="48" t="s">
        <v>343</v>
      </c>
      <c r="F28" s="48" t="s">
        <v>184</v>
      </c>
      <c r="G28" s="48" t="s">
        <v>344</v>
      </c>
      <c r="H28" s="63" t="s">
        <v>345</v>
      </c>
      <c r="I28" s="48" t="s">
        <v>168</v>
      </c>
      <c r="J28" s="48" t="s">
        <v>346</v>
      </c>
      <c r="K28" s="48" t="s">
        <v>184</v>
      </c>
      <c r="L28" s="48" t="s">
        <v>347</v>
      </c>
      <c r="M28" s="48" t="s">
        <v>305</v>
      </c>
      <c r="N28" s="48">
        <v>5</v>
      </c>
      <c r="O28" s="17"/>
    </row>
    <row r="29" spans="1:15" ht="42" x14ac:dyDescent="0.35">
      <c r="A29" s="40" t="s">
        <v>60</v>
      </c>
      <c r="B29" s="47" t="s">
        <v>116</v>
      </c>
      <c r="C29" s="48" t="s">
        <v>169</v>
      </c>
      <c r="D29" s="48" t="s">
        <v>168</v>
      </c>
      <c r="E29" s="48" t="s">
        <v>212</v>
      </c>
      <c r="F29" s="48" t="s">
        <v>168</v>
      </c>
      <c r="G29" s="48" t="s">
        <v>211</v>
      </c>
      <c r="H29" s="48" t="s">
        <v>169</v>
      </c>
      <c r="I29" s="48" t="s">
        <v>168</v>
      </c>
      <c r="J29" s="48" t="s">
        <v>210</v>
      </c>
      <c r="K29" s="48" t="s">
        <v>184</v>
      </c>
      <c r="L29" s="48" t="s">
        <v>184</v>
      </c>
      <c r="M29" s="48" t="s">
        <v>209</v>
      </c>
      <c r="N29" s="29">
        <v>1</v>
      </c>
      <c r="O29" s="17"/>
    </row>
    <row r="30" spans="1:15" ht="42" x14ac:dyDescent="0.35">
      <c r="A30" s="40" t="s">
        <v>61</v>
      </c>
      <c r="B30" s="47" t="s">
        <v>116</v>
      </c>
      <c r="C30" s="48" t="s">
        <v>169</v>
      </c>
      <c r="D30" s="48" t="s">
        <v>168</v>
      </c>
      <c r="E30" s="48" t="s">
        <v>208</v>
      </c>
      <c r="F30" s="48" t="s">
        <v>168</v>
      </c>
      <c r="G30" s="48"/>
      <c r="H30" s="48"/>
      <c r="I30" s="48" t="s">
        <v>168</v>
      </c>
      <c r="J30" s="48" t="s">
        <v>207</v>
      </c>
      <c r="K30" s="48" t="s">
        <v>206</v>
      </c>
      <c r="L30" s="48" t="s">
        <v>313</v>
      </c>
      <c r="M30" s="48" t="s">
        <v>314</v>
      </c>
      <c r="N30" s="48" t="s">
        <v>315</v>
      </c>
      <c r="O30" s="17"/>
    </row>
    <row r="31" spans="1:15" ht="126" x14ac:dyDescent="0.35">
      <c r="A31" s="40" t="s">
        <v>62</v>
      </c>
      <c r="B31" s="47" t="s">
        <v>116</v>
      </c>
      <c r="C31" s="48" t="s">
        <v>169</v>
      </c>
      <c r="D31" s="48" t="s">
        <v>168</v>
      </c>
      <c r="E31" s="48" t="s">
        <v>205</v>
      </c>
      <c r="F31" s="48" t="s">
        <v>184</v>
      </c>
      <c r="G31" s="48" t="s">
        <v>204</v>
      </c>
      <c r="H31" s="66" t="s">
        <v>184</v>
      </c>
      <c r="I31" s="66" t="s">
        <v>168</v>
      </c>
      <c r="J31" s="48" t="s">
        <v>203</v>
      </c>
      <c r="K31" s="48" t="s">
        <v>202</v>
      </c>
      <c r="L31" s="48" t="s">
        <v>389</v>
      </c>
      <c r="M31" s="48" t="s">
        <v>201</v>
      </c>
      <c r="N31" s="48" t="s">
        <v>390</v>
      </c>
      <c r="O31" s="17"/>
    </row>
    <row r="32" spans="1:15" ht="42" x14ac:dyDescent="0.35">
      <c r="A32" s="40" t="s">
        <v>110</v>
      </c>
      <c r="B32" s="47" t="s">
        <v>116</v>
      </c>
      <c r="C32" s="48" t="s">
        <v>169</v>
      </c>
      <c r="D32" s="48" t="s">
        <v>168</v>
      </c>
      <c r="E32" s="48" t="s">
        <v>200</v>
      </c>
      <c r="F32" s="48" t="s">
        <v>168</v>
      </c>
      <c r="G32" s="48" t="s">
        <v>199</v>
      </c>
      <c r="H32" s="48"/>
      <c r="I32" s="48" t="s">
        <v>105</v>
      </c>
      <c r="J32" s="48" t="s">
        <v>198</v>
      </c>
      <c r="K32" s="48" t="s">
        <v>197</v>
      </c>
      <c r="L32" s="48" t="s">
        <v>316</v>
      </c>
      <c r="M32" s="48" t="s">
        <v>196</v>
      </c>
      <c r="N32" s="48" t="s">
        <v>317</v>
      </c>
      <c r="O32" s="17"/>
    </row>
    <row r="33" spans="1:15" ht="42" x14ac:dyDescent="0.35">
      <c r="A33" s="40" t="s">
        <v>109</v>
      </c>
      <c r="B33" s="47" t="s">
        <v>116</v>
      </c>
      <c r="C33" s="48" t="s">
        <v>169</v>
      </c>
      <c r="D33" s="48" t="s">
        <v>168</v>
      </c>
      <c r="E33" s="48" t="s">
        <v>195</v>
      </c>
      <c r="F33" s="48" t="s">
        <v>168</v>
      </c>
      <c r="G33" s="48" t="s">
        <v>194</v>
      </c>
      <c r="H33" s="48" t="s">
        <v>193</v>
      </c>
      <c r="I33" s="48" t="s">
        <v>104</v>
      </c>
      <c r="J33" s="48" t="s">
        <v>192</v>
      </c>
      <c r="K33" s="48" t="s">
        <v>191</v>
      </c>
      <c r="L33" s="48" t="s">
        <v>184</v>
      </c>
      <c r="M33" s="48" t="s">
        <v>306</v>
      </c>
      <c r="N33" s="48">
        <v>1</v>
      </c>
      <c r="O33" s="17"/>
    </row>
    <row r="34" spans="1:15" ht="70" x14ac:dyDescent="0.35">
      <c r="A34" s="40" t="s">
        <v>63</v>
      </c>
      <c r="B34" s="47" t="s">
        <v>116</v>
      </c>
      <c r="C34" s="48" t="s">
        <v>169</v>
      </c>
      <c r="D34" s="48" t="s">
        <v>168</v>
      </c>
      <c r="E34" s="48" t="s">
        <v>190</v>
      </c>
      <c r="F34" s="48" t="s">
        <v>168</v>
      </c>
      <c r="G34" s="48" t="s">
        <v>189</v>
      </c>
      <c r="H34" s="48" t="s">
        <v>188</v>
      </c>
      <c r="I34" s="48" t="s">
        <v>197</v>
      </c>
      <c r="J34" s="48" t="s">
        <v>187</v>
      </c>
      <c r="K34" s="48" t="s">
        <v>186</v>
      </c>
      <c r="L34" s="48" t="s">
        <v>318</v>
      </c>
      <c r="M34" s="48" t="s">
        <v>307</v>
      </c>
      <c r="N34" s="48">
        <v>4</v>
      </c>
      <c r="O34" s="17"/>
    </row>
    <row r="35" spans="1:15" ht="56" x14ac:dyDescent="0.35">
      <c r="A35" s="68" t="s">
        <v>64</v>
      </c>
      <c r="B35" s="47" t="s">
        <v>117</v>
      </c>
      <c r="C35" s="48" t="s">
        <v>327</v>
      </c>
      <c r="D35" s="48" t="s">
        <v>168</v>
      </c>
      <c r="E35" s="48" t="s">
        <v>185</v>
      </c>
      <c r="F35" s="48" t="s">
        <v>184</v>
      </c>
      <c r="G35" s="48" t="s">
        <v>183</v>
      </c>
      <c r="H35" s="48"/>
      <c r="I35" s="48" t="s">
        <v>168</v>
      </c>
      <c r="J35" s="48" t="s">
        <v>182</v>
      </c>
      <c r="K35" s="48" t="s">
        <v>181</v>
      </c>
      <c r="L35" s="48" t="s">
        <v>328</v>
      </c>
      <c r="M35" s="48" t="s">
        <v>180</v>
      </c>
      <c r="N35" s="48">
        <v>2</v>
      </c>
      <c r="O35" s="17"/>
    </row>
    <row r="36" spans="1:15" ht="97.5" customHeight="1" x14ac:dyDescent="0.35">
      <c r="A36" s="40" t="s">
        <v>65</v>
      </c>
      <c r="B36" s="47" t="s">
        <v>169</v>
      </c>
      <c r="C36" s="48" t="s">
        <v>169</v>
      </c>
      <c r="D36" s="48" t="s">
        <v>168</v>
      </c>
      <c r="E36" s="48" t="s">
        <v>179</v>
      </c>
      <c r="F36" s="48" t="s">
        <v>168</v>
      </c>
      <c r="G36" s="48" t="s">
        <v>178</v>
      </c>
      <c r="H36" s="48"/>
      <c r="I36" s="48" t="s">
        <v>168</v>
      </c>
      <c r="J36" s="48" t="s">
        <v>177</v>
      </c>
      <c r="K36" s="48" t="s">
        <v>176</v>
      </c>
      <c r="L36" s="48" t="s">
        <v>387</v>
      </c>
      <c r="M36" s="48" t="s">
        <v>175</v>
      </c>
      <c r="N36" s="48" t="s">
        <v>388</v>
      </c>
      <c r="O36" s="17"/>
    </row>
    <row r="37" spans="1:15" ht="57" customHeight="1" x14ac:dyDescent="0.35">
      <c r="A37" s="40" t="s">
        <v>66</v>
      </c>
      <c r="B37" s="47" t="s">
        <v>116</v>
      </c>
      <c r="C37" s="48" t="s">
        <v>169</v>
      </c>
      <c r="D37" s="48" t="s">
        <v>168</v>
      </c>
      <c r="E37" s="48" t="s">
        <v>174</v>
      </c>
      <c r="F37" s="48" t="s">
        <v>168</v>
      </c>
      <c r="G37" s="48" t="s">
        <v>173</v>
      </c>
      <c r="H37" s="48" t="s">
        <v>172</v>
      </c>
      <c r="I37" s="48" t="s">
        <v>168</v>
      </c>
      <c r="J37" s="48" t="s">
        <v>171</v>
      </c>
      <c r="K37" s="48" t="s">
        <v>170</v>
      </c>
      <c r="L37" s="48" t="s">
        <v>184</v>
      </c>
      <c r="M37" s="48" t="s">
        <v>308</v>
      </c>
      <c r="N37" s="48">
        <v>2</v>
      </c>
      <c r="O37" s="17"/>
    </row>
    <row r="38" spans="1:15" ht="42" x14ac:dyDescent="0.35">
      <c r="A38" s="40" t="s">
        <v>108</v>
      </c>
      <c r="B38" s="47" t="s">
        <v>116</v>
      </c>
      <c r="C38" s="48" t="s">
        <v>169</v>
      </c>
      <c r="D38" s="48" t="s">
        <v>168</v>
      </c>
      <c r="E38" s="48" t="s">
        <v>174</v>
      </c>
      <c r="F38" s="48" t="s">
        <v>168</v>
      </c>
      <c r="G38" s="48" t="s">
        <v>334</v>
      </c>
      <c r="H38" s="48" t="s">
        <v>167</v>
      </c>
      <c r="I38" s="48" t="s">
        <v>335</v>
      </c>
      <c r="J38" s="48" t="s">
        <v>166</v>
      </c>
      <c r="K38" s="48" t="s">
        <v>165</v>
      </c>
      <c r="L38" s="48" t="s">
        <v>336</v>
      </c>
      <c r="M38" s="48" t="s">
        <v>164</v>
      </c>
      <c r="N38" s="48">
        <v>2</v>
      </c>
      <c r="O38" s="58" t="s">
        <v>337</v>
      </c>
    </row>
    <row r="39" spans="1:15" thickBot="1" x14ac:dyDescent="0.4">
      <c r="A39" s="41"/>
      <c r="B39" s="46"/>
      <c r="C39" s="45"/>
      <c r="D39" s="45"/>
      <c r="E39" s="45"/>
      <c r="F39" s="45"/>
      <c r="G39" s="45"/>
      <c r="H39" s="45"/>
      <c r="I39" s="45"/>
      <c r="J39" s="45"/>
      <c r="K39" s="45"/>
      <c r="L39" s="45"/>
      <c r="M39" s="45"/>
      <c r="N39" s="45"/>
      <c r="O39" s="18"/>
    </row>
    <row r="40" spans="1:15" s="23" customFormat="1" ht="26.5" thickTop="1" x14ac:dyDescent="0.35">
      <c r="A40" s="44"/>
      <c r="B40" s="20" t="s">
        <v>163</v>
      </c>
      <c r="C40" s="21"/>
      <c r="D40" s="21"/>
      <c r="E40" s="21"/>
      <c r="F40" s="21"/>
      <c r="G40" s="21"/>
      <c r="H40" s="21"/>
      <c r="I40" s="21"/>
      <c r="J40" s="21"/>
      <c r="K40" s="21"/>
      <c r="L40" s="21"/>
      <c r="M40" s="21"/>
      <c r="N40" s="21"/>
      <c r="O40" s="2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LCB</vt:lpstr>
      <vt:lpstr>SH</vt:lpstr>
    </vt:vector>
  </TitlesOfParts>
  <Company>Government of Manitoba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Rahman, Ananna</dc:creator>
  <cp:lastModifiedBy>Rahman, Ananna</cp:lastModifiedBy>
  <dcterms:created xsi:type="dcterms:W3CDTF">2025-11-19T00:34:02Z</dcterms:created>
  <dcterms:modified xsi:type="dcterms:W3CDTF">2026-04-27T19:33:06Z</dcterms:modified>
</cp:coreProperties>
</file>