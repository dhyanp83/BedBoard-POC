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D21\LC\PCH Unit\[NEW] Information and Tracking\Bed Maps and PCH Information\2025\Feedback From Regions\PMH Feedback\Combined\"/>
    </mc:Choice>
  </mc:AlternateContent>
  <xr:revisionPtr revIDLastSave="0" documentId="13_ncr:1_{047430EC-12B9-48D6-9909-6507A078D9D2}" xr6:coauthVersionLast="47" xr6:coauthVersionMax="47" xr10:uidLastSave="{00000000-0000-0000-0000-000000000000}"/>
  <bookViews>
    <workbookView xWindow="-110" yWindow="-110" windowWidth="19420" windowHeight="12300" tabRatio="367" activeTab="1" xr2:uid="{C20E4F64-A442-484B-9DDD-0776CE7E3D87}"/>
  </bookViews>
  <sheets>
    <sheet name="LCB" sheetId="3" r:id="rId1"/>
    <sheet name="SH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" i="3" l="1"/>
  <c r="R39" i="3"/>
  <c r="R4" i="3"/>
  <c r="M47" i="3" l="1"/>
  <c r="L47" i="3"/>
  <c r="S47" i="3"/>
  <c r="U5" i="3" l="1"/>
  <c r="R5" i="3" s="1"/>
  <c r="U6" i="3"/>
  <c r="R6" i="3" s="1"/>
  <c r="U7" i="3"/>
  <c r="R7" i="3" s="1"/>
  <c r="U8" i="3"/>
  <c r="R8" i="3" s="1"/>
  <c r="U9" i="3"/>
  <c r="R9" i="3" s="1"/>
  <c r="U10" i="3"/>
  <c r="U11" i="3"/>
  <c r="R11" i="3" s="1"/>
  <c r="U12" i="3"/>
  <c r="R12" i="3" s="1"/>
  <c r="U13" i="3"/>
  <c r="R13" i="3" s="1"/>
  <c r="U14" i="3"/>
  <c r="R14" i="3" s="1"/>
  <c r="U15" i="3"/>
  <c r="R15" i="3" s="1"/>
  <c r="U16" i="3"/>
  <c r="R16" i="3" s="1"/>
  <c r="U17" i="3"/>
  <c r="R17" i="3" s="1"/>
  <c r="R18" i="3"/>
  <c r="U22" i="3"/>
  <c r="R22" i="3" s="1"/>
  <c r="U23" i="3"/>
  <c r="R23" i="3" s="1"/>
  <c r="U24" i="3"/>
  <c r="R24" i="3" s="1"/>
  <c r="U25" i="3"/>
  <c r="R25" i="3" s="1"/>
  <c r="U19" i="3"/>
  <c r="R19" i="3" s="1"/>
  <c r="U26" i="3"/>
  <c r="R26" i="3" s="1"/>
  <c r="U27" i="3"/>
  <c r="R27" i="3" s="1"/>
  <c r="U28" i="3"/>
  <c r="R28" i="3" s="1"/>
  <c r="U29" i="3"/>
  <c r="R29" i="3" s="1"/>
  <c r="U30" i="3"/>
  <c r="R30" i="3" s="1"/>
  <c r="U31" i="3"/>
  <c r="R31" i="3" s="1"/>
  <c r="U32" i="3"/>
  <c r="R32" i="3" s="1"/>
  <c r="U33" i="3"/>
  <c r="R33" i="3" s="1"/>
  <c r="U34" i="3"/>
  <c r="R34" i="3" s="1"/>
  <c r="U35" i="3"/>
  <c r="R35" i="3" s="1"/>
  <c r="U36" i="3"/>
  <c r="R36" i="3" s="1"/>
  <c r="U37" i="3"/>
  <c r="R37" i="3" s="1"/>
  <c r="U38" i="3"/>
  <c r="R38" i="3" s="1"/>
  <c r="U41" i="3"/>
  <c r="R41" i="3" s="1"/>
  <c r="U20" i="3"/>
  <c r="R20" i="3" s="1"/>
  <c r="U42" i="3"/>
  <c r="R42" i="3" s="1"/>
  <c r="U43" i="3"/>
  <c r="R43" i="3" s="1"/>
  <c r="U44" i="3"/>
  <c r="R44" i="3" s="1"/>
  <c r="U45" i="3"/>
  <c r="R45" i="3" s="1"/>
  <c r="U46" i="3"/>
  <c r="R46" i="3" s="1"/>
  <c r="U47" i="3" l="1"/>
  <c r="O47" i="3"/>
  <c r="P47" i="3"/>
  <c r="Q47" i="3"/>
</calcChain>
</file>

<file path=xl/sharedStrings.xml><?xml version="1.0" encoding="utf-8"?>
<sst xmlns="http://schemas.openxmlformats.org/spreadsheetml/2006/main" count="1147" uniqueCount="384">
  <si>
    <t>Resident Bedroom Capacity by Bed Type</t>
  </si>
  <si>
    <t>Facility Address</t>
  </si>
  <si>
    <t xml:space="preserve">For-Profit </t>
  </si>
  <si>
    <t>Not-For-Profit</t>
  </si>
  <si>
    <t>Specialized Personal Care Environment Bed Types</t>
  </si>
  <si>
    <t>Single Bed PCH Rooms</t>
  </si>
  <si>
    <t>Multi-Bedded PCH Rooms</t>
  </si>
  <si>
    <t>PCH Name</t>
  </si>
  <si>
    <t>Mailing Address</t>
  </si>
  <si>
    <t>Civic Address</t>
  </si>
  <si>
    <t>Licence Status</t>
  </si>
  <si>
    <t>Operator</t>
  </si>
  <si>
    <t>Designated Bilingual (Y/N)</t>
  </si>
  <si>
    <t>Francophone (Y/N)</t>
  </si>
  <si>
    <t>Regional Owned and Operated PCHs</t>
  </si>
  <si>
    <t>Board Owned and Operated PCHs</t>
  </si>
  <si>
    <t>Faith-based (FB); Culture-based (CB)</t>
  </si>
  <si>
    <t>General PCH Beds</t>
  </si>
  <si>
    <t>Respite PCH Beds</t>
  </si>
  <si>
    <t>Veterans' Priority Beds</t>
  </si>
  <si>
    <t>Alternate Care Environment (ACE) Beds</t>
  </si>
  <si>
    <t>Behavioural Support &amp; Care Environment (BSCE) Beds</t>
  </si>
  <si>
    <t>Behavioural Treatment Unit (BTU) Beds</t>
  </si>
  <si>
    <t># of 1 Bed rooms</t>
  </si>
  <si>
    <t># of 2 Bed Rooms</t>
  </si>
  <si>
    <t xml:space="preserve"># of 3 or more Bed Rooms  </t>
  </si>
  <si>
    <t>Total Licensed Beds</t>
  </si>
  <si>
    <t>Transitional Beds</t>
  </si>
  <si>
    <t>Baldur Manor</t>
  </si>
  <si>
    <t>Box 128, Baldur, R0K 0B0</t>
  </si>
  <si>
    <t>531 Elizabeth Avenue East, Baldur</t>
  </si>
  <si>
    <t>Unencumbered Licence</t>
  </si>
  <si>
    <t>Prairie Mountain Health</t>
  </si>
  <si>
    <t>N</t>
  </si>
  <si>
    <t>Y</t>
  </si>
  <si>
    <t>-</t>
  </si>
  <si>
    <t>Bayside Personal Care Home</t>
  </si>
  <si>
    <t>Box 5000, Killarney, R0K 1G0</t>
  </si>
  <si>
    <t>86 Ellis Drive, Killarney</t>
  </si>
  <si>
    <t>Benito Health Centre</t>
  </si>
  <si>
    <t>Box 490, Benito, R0L 0C0</t>
  </si>
  <si>
    <t>200 1st Street South East, Benito</t>
  </si>
  <si>
    <t>Birch Lodge Personal Care Home</t>
  </si>
  <si>
    <t>177 Birch Ave., Hamiota, R0M 0T0</t>
  </si>
  <si>
    <t>177 Birch Avenue, Hamiota</t>
  </si>
  <si>
    <t>Bren-Del-Win Lodge</t>
  </si>
  <si>
    <t>Box 447, Deloraine, R0M 0M0</t>
  </si>
  <si>
    <t>103 Kellet Street South, Deloraine</t>
  </si>
  <si>
    <t>Carberry Personal Care Home</t>
  </si>
  <si>
    <t>Box 2000, Carberry, R0K 0H0</t>
  </si>
  <si>
    <t>340 Toronto Street, Carberry</t>
  </si>
  <si>
    <t>Country Meadows Personal Care Home</t>
  </si>
  <si>
    <t>Box 1240, Neepawa, R0J 1H0</t>
  </si>
  <si>
    <t>500 Veterans Way, Neepawa</t>
  </si>
  <si>
    <t>Crocus Court Personal Care Home</t>
  </si>
  <si>
    <t>Box 940, Roblin, R0L 1P0</t>
  </si>
  <si>
    <t>15 Hospital Street, Roblin</t>
  </si>
  <si>
    <t>Dauphin Personal Care Home</t>
  </si>
  <si>
    <t>625- 3rd Street South West, Dauphin, R7N 1R7</t>
  </si>
  <si>
    <t>625 - 3rd Street South West, Dauphin</t>
  </si>
  <si>
    <t>Delwynda Court Personal Care Home</t>
  </si>
  <si>
    <t>109 Kellett Street South, Deloraine</t>
  </si>
  <si>
    <t>Dinsdale Personal Care Home</t>
  </si>
  <si>
    <t>510 - 6th Street, Brandon, R7A 3N9</t>
  </si>
  <si>
    <t>510 - 6th Street, Brandon</t>
  </si>
  <si>
    <t>Dr. Gendreau Personal Care Home</t>
  </si>
  <si>
    <t>Box 420, Ste. Rose, R0L 1S0</t>
  </si>
  <si>
    <t>515 Mission Street, Ste. Rose</t>
  </si>
  <si>
    <t>Dr. Gendreau Memorial Personal Care Home Incorporated</t>
  </si>
  <si>
    <t>FB</t>
  </si>
  <si>
    <t>Elkwood Manor</t>
  </si>
  <si>
    <t xml:space="preserve">Box 70, Elkhorn, R0M 0N0 </t>
  </si>
  <si>
    <t>12 Antrim Street, Elkhorn</t>
  </si>
  <si>
    <t>Erickson &amp; District Health Centre</t>
  </si>
  <si>
    <t>Box 250, Erickson, R0J 0P0</t>
  </si>
  <si>
    <t>60 Queen Elizabeth Road, Erickson</t>
  </si>
  <si>
    <t>Evergreen Place Personal Care Home</t>
  </si>
  <si>
    <t>Box 899, Boissevain, R0K 0E0</t>
  </si>
  <si>
    <t>305 Mill Road, Boissevain</t>
  </si>
  <si>
    <t xml:space="preserve">Fairview Home </t>
  </si>
  <si>
    <t>1351- 13th Street, Brandon, R7A 4S6</t>
  </si>
  <si>
    <t>1351 - 13th Street, Brandon</t>
  </si>
  <si>
    <t>Gilbert Plains Health Centre</t>
  </si>
  <si>
    <t>Box 368, Gilbert Plains, R0L 0X0</t>
  </si>
  <si>
    <t>100 Cutforth Street North, Gilbert Plains</t>
  </si>
  <si>
    <t>Glenboro Personal Care Home</t>
  </si>
  <si>
    <t>Box 310, Glenboro, R0K 0X0</t>
  </si>
  <si>
    <t>219 Murray Street, Glenboro</t>
  </si>
  <si>
    <t>Grandview Personal Care Home</t>
  </si>
  <si>
    <t>Box 130, Grandview, R0L 0Y0</t>
  </si>
  <si>
    <t>308 Jackson Street, Grandview</t>
  </si>
  <si>
    <t>Hartney Community Health Centre</t>
  </si>
  <si>
    <t>Box 280, Hartney, R0M 0X0</t>
  </si>
  <si>
    <t>617 River Avenue, Hartney</t>
  </si>
  <si>
    <t>Extendicare Hillcrest Place Inc.</t>
  </si>
  <si>
    <t>930 26th Street, Brandon, R7B 2B8</t>
  </si>
  <si>
    <t>930-26th Street, Brandon</t>
  </si>
  <si>
    <t>Extendicare Canada Inc.</t>
  </si>
  <si>
    <t>McCreary/Alonsa Personal Care Home</t>
  </si>
  <si>
    <t>Box 250, McCreary, R0J 1B0</t>
  </si>
  <si>
    <t>613 PTH 50, McCreary</t>
  </si>
  <si>
    <t>Melita Personal Care Home</t>
  </si>
  <si>
    <t>Box 459, Melita, R0M 1L0</t>
  </si>
  <si>
    <t>147 Summit Street, Melita</t>
  </si>
  <si>
    <t>Minnedosa Personal Care Home</t>
  </si>
  <si>
    <t>Box 960, Minnedosa, R0J 1E0</t>
  </si>
  <si>
    <t>138 - 3rd Avenue South West, Minnedosa</t>
  </si>
  <si>
    <t>Morley House Personal Care Home</t>
  </si>
  <si>
    <t>Box 490, Shoal Lake, R0J 1Z0</t>
  </si>
  <si>
    <t>524 Mary Street, Shoal Lake</t>
  </si>
  <si>
    <t>Rideau Park Personal Care Home</t>
  </si>
  <si>
    <t>525 Victoria Avenue East, Brandon, R7A 6S9</t>
  </si>
  <si>
    <t>525 Victoria Avenue East, Brandon</t>
  </si>
  <si>
    <t>Riverdale Personal Care Home</t>
  </si>
  <si>
    <t>512 Quebec Street, Rivers, R0K 1X0</t>
  </si>
  <si>
    <t>512 Quebec Street, Rivers</t>
  </si>
  <si>
    <t>Rossburn Personal Care Home</t>
  </si>
  <si>
    <t>Box 40, Rossburn, R0J 1V0</t>
  </si>
  <si>
    <t>116 Parkview Drive, Rossburn</t>
  </si>
  <si>
    <t>Russell Personal Care Home</t>
  </si>
  <si>
    <t>Bag Service #2, Russell, R0J 1W0</t>
  </si>
  <si>
    <t>113 Arsini Street East, Russell</t>
  </si>
  <si>
    <t>Sandy Lake Personal Care Home</t>
  </si>
  <si>
    <t>Box 7, Sandy Lake, R0J 1X0</t>
  </si>
  <si>
    <t>106 - 1st Street West, Sandy Lake</t>
  </si>
  <si>
    <t>Sherwood Nursing Home</t>
  </si>
  <si>
    <t>Box 2000, Virden, R0M 2C0</t>
  </si>
  <si>
    <t>223 Hargrave Street East, Virden</t>
  </si>
  <si>
    <t>Souris Personal Care Home</t>
  </si>
  <si>
    <t>Box 10, Souris, R0K 2C0</t>
  </si>
  <si>
    <t>155 Brindle Avenue East, Souris</t>
  </si>
  <si>
    <t>St. Paul's Home</t>
  </si>
  <si>
    <t>703 Jackson Street, Dauphin, R7N 2N2</t>
  </si>
  <si>
    <t>703 Jackson Street, Dauphin</t>
  </si>
  <si>
    <t>Sunnyside Manor</t>
  </si>
  <si>
    <t>Box 2000, Birtle, R0M 0C0</t>
  </si>
  <si>
    <t>843 Gertrude Street, Birtle</t>
  </si>
  <si>
    <t xml:space="preserve">Swan Valley Personal Care Home Inc. </t>
  </si>
  <si>
    <t>Box 1390, Swan River, R0L 1Z0</t>
  </si>
  <si>
    <t>334-8th Avenue South, Swan River</t>
  </si>
  <si>
    <t>Swan Valley Lodge (1991) Inc.</t>
  </si>
  <si>
    <t>Box 1450, Swan River, R0L 1Z0</t>
  </si>
  <si>
    <t>1013 Main Street, Swan River</t>
  </si>
  <si>
    <t>Tiger Hills Manor</t>
  </si>
  <si>
    <t>Box 130, Treherne, R0G 2V0</t>
  </si>
  <si>
    <t>64 Clark Street, Treherne</t>
  </si>
  <si>
    <t>3015 Victoria Avenue, Brandon, R7B 2K2</t>
  </si>
  <si>
    <t>3015 Victoria Avenue, Brandon</t>
  </si>
  <si>
    <t>Wawanesa Health Centre</t>
  </si>
  <si>
    <t>Box 309, Wawanesa, R0K 2G0</t>
  </si>
  <si>
    <t>506 George Street, Wawanesa</t>
  </si>
  <si>
    <t>West-Man Nursing Home</t>
  </si>
  <si>
    <t>Box 1630, Virden, R0M 2C0</t>
  </si>
  <si>
    <t>427 Frame Street East, Virden</t>
  </si>
  <si>
    <t>Westview Lodge</t>
  </si>
  <si>
    <t>Box 819, Boissevain, R0K 0E0</t>
  </si>
  <si>
    <t>200 Struthers Street, Boissevain</t>
  </si>
  <si>
    <t>Willowview Personal Care Home</t>
  </si>
  <si>
    <t>Box 250, Reston, R0M 1X0</t>
  </si>
  <si>
    <t>523-1st Street North, Reston</t>
  </si>
  <si>
    <t>Winnipegosis &amp; District Personal Care Home</t>
  </si>
  <si>
    <t>Box 280, Winnipegosis, R0L 2G0</t>
  </si>
  <si>
    <t>230 Bridge Street, Winnipegosis</t>
  </si>
  <si>
    <t>Winnipegosis &amp; District Health Centre</t>
  </si>
  <si>
    <t>43 PCHs</t>
  </si>
  <si>
    <t>Extendicare Valleyview Care Centre</t>
  </si>
  <si>
    <r>
      <t xml:space="preserve">For-Profit
</t>
    </r>
    <r>
      <rPr>
        <b/>
        <u/>
        <sz val="11"/>
        <rFont val="Arial"/>
        <family val="2"/>
      </rPr>
      <t>(Y/N)</t>
    </r>
  </si>
  <si>
    <r>
      <t xml:space="preserve">Assigned
by area
North </t>
    </r>
    <r>
      <rPr>
        <b/>
        <sz val="11"/>
        <rFont val="Arial"/>
        <family val="2"/>
      </rPr>
      <t>8</t>
    </r>
    <r>
      <rPr>
        <sz val="11"/>
        <rFont val="Arial"/>
        <family val="2"/>
      </rPr>
      <t xml:space="preserve">
South </t>
    </r>
    <r>
      <rPr>
        <b/>
        <sz val="11"/>
        <rFont val="Arial"/>
        <family val="2"/>
      </rPr>
      <t>17</t>
    </r>
    <r>
      <rPr>
        <sz val="11"/>
        <rFont val="Arial"/>
        <family val="2"/>
      </rPr>
      <t xml:space="preserve">
Brandon </t>
    </r>
    <r>
      <rPr>
        <b/>
        <sz val="11"/>
        <rFont val="Arial"/>
        <family val="2"/>
      </rPr>
      <t>8</t>
    </r>
  </si>
  <si>
    <t>Unencumbered Licence
(Licence under review)</t>
  </si>
  <si>
    <t> </t>
  </si>
  <si>
    <t>1 floor</t>
  </si>
  <si>
    <t>25 J
18 NJ</t>
  </si>
  <si>
    <t>Mitel VOIP phones</t>
  </si>
  <si>
    <t xml:space="preserve">Michelle Quennelle-Executive Director/Manager Health Services </t>
  </si>
  <si>
    <t xml:space="preserve">2-way radios receiption only in aite </t>
  </si>
  <si>
    <t xml:space="preserve">Yes </t>
  </si>
  <si>
    <t>204-656-4881</t>
  </si>
  <si>
    <t xml:space="preserve">Code green internal move PCH to hospital </t>
  </si>
  <si>
    <t>Generator supports the hospital. PCH only has certain lights down the hallway and one plug. Fire system on line as well.</t>
  </si>
  <si>
    <t>No</t>
  </si>
  <si>
    <t>15 KW</t>
  </si>
  <si>
    <t>Yes</t>
  </si>
  <si>
    <t>WDHC is Winnipegosis Mossey River Personal Care Home juxtaposed to Winnipegosis General Hospital</t>
  </si>
  <si>
    <t>J</t>
  </si>
  <si>
    <t>Avaya IPO Phones</t>
  </si>
  <si>
    <t xml:space="preserve">Lindsay Cooper, Manager Health Services LTC </t>
  </si>
  <si>
    <t>204-877-3925</t>
  </si>
  <si>
    <t>partial</t>
  </si>
  <si>
    <t xml:space="preserve">lights, outlets, phones </t>
  </si>
  <si>
    <t>55 KW</t>
  </si>
  <si>
    <t>Reston Health Centre</t>
  </si>
  <si>
    <t xml:space="preserve">Tracy Mills-Manager Health Services LTC </t>
  </si>
  <si>
    <t>204-534-2455</t>
  </si>
  <si>
    <t>none</t>
  </si>
  <si>
    <t>N/A</t>
  </si>
  <si>
    <t>NJ</t>
  </si>
  <si>
    <t xml:space="preserve">Kim Hodgins, Manager Health Services LTC </t>
  </si>
  <si>
    <t>204-748-4335</t>
  </si>
  <si>
    <t xml:space="preserve">Runs hallway lights (every 3rd) and maglocks on the doors </t>
  </si>
  <si>
    <t>60 KW</t>
  </si>
  <si>
    <t>Virden Health Centre</t>
  </si>
  <si>
    <t xml:space="preserve">Amanda Cambell, Manager Health Services LTC </t>
  </si>
  <si>
    <t>Yes, but the caller needs to press 3 to be forwarded to the nursing desk after 1600 hrs on weekdays and 24 hrs on weekends</t>
  </si>
  <si>
    <t>204-824-2335</t>
  </si>
  <si>
    <t xml:space="preserve">Site has boiler heat for some rooms. The PCH resident rooms are heated by baseboard heaters. They are not supported by the generator. </t>
  </si>
  <si>
    <t>select power and lighting</t>
  </si>
  <si>
    <t>210 KW</t>
  </si>
  <si>
    <t xml:space="preserve">Wawanesa Health Centre </t>
  </si>
  <si>
    <t>KX-DT543 Panasonic</t>
  </si>
  <si>
    <t xml:space="preserve"> 3 floors</t>
  </si>
  <si>
    <t>Connie Krahn, Executive Director</t>
  </si>
  <si>
    <t>204-728-2030</t>
  </si>
  <si>
    <t>Contingency plan in place with HVAC provider, generator &amp; portable boiler availabe to hook up to our system.</t>
  </si>
  <si>
    <t>Valleyview Care Centre</t>
  </si>
  <si>
    <t xml:space="preserve">Amber Seitz, Manager Health Services LTC </t>
  </si>
  <si>
    <t>204-723-2133</t>
  </si>
  <si>
    <t>site supported except EPH</t>
  </si>
  <si>
    <t>500 KW</t>
  </si>
  <si>
    <t>Treherne Health Center- Acute, Treherne Health Clinic, EPH</t>
  </si>
  <si>
    <t>Amanda Watts, Manager Health Services-LTC</t>
  </si>
  <si>
    <t>204-734-3441</t>
  </si>
  <si>
    <t xml:space="preserve"> complete facility</t>
  </si>
  <si>
    <t>1000 KW</t>
  </si>
  <si>
    <t>Swan Valley Health Centre</t>
  </si>
  <si>
    <t>Yes- sites is manned 24/7</t>
  </si>
  <si>
    <t>204-734-4521</t>
  </si>
  <si>
    <t>Back up batteries maintain minimal functions for 1hour. Small portable generator on site to last until DEPP supplies arrive if needed.</t>
  </si>
  <si>
    <t>1floor PCH, 2 Transitional</t>
  </si>
  <si>
    <t xml:space="preserve">Tricia Hunter Manager Health Services LTC </t>
  </si>
  <si>
    <t>204-842-3317</t>
  </si>
  <si>
    <t>PCH will have no heat in a power outage. Trans will still have baseboard heat.</t>
  </si>
  <si>
    <t xml:space="preserve">Rm B-52; Emergency lighting, Door mag locks, Fire Panel, Propane boiler pumps and pneumatic system, Certain plugs throughout the facility. </t>
  </si>
  <si>
    <t xml:space="preserve"> 40 KW</t>
  </si>
  <si>
    <t xml:space="preserve">Birtle Health Centre </t>
  </si>
  <si>
    <t>Aaron Miner Health Services Manager</t>
  </si>
  <si>
    <t>204-638-3129</t>
  </si>
  <si>
    <t>Boiler heat</t>
  </si>
  <si>
    <t xml:space="preserve">Newly installed on the southeast side of the building.   </t>
  </si>
  <si>
    <t>150 KW</t>
  </si>
  <si>
    <t>Mitel SX 200 ICP</t>
  </si>
  <si>
    <t>yes</t>
  </si>
  <si>
    <t>204-483-2121</t>
  </si>
  <si>
    <t>Partial</t>
  </si>
  <si>
    <t>limited lights and plugs</t>
  </si>
  <si>
    <t>75 KW</t>
  </si>
  <si>
    <t>Souris Health Center-Acute</t>
  </si>
  <si>
    <t>Avaya Aura</t>
  </si>
  <si>
    <t>204-748-1546</t>
  </si>
  <si>
    <t xml:space="preserve">Powerpack to run O2 concentrators if needed. This is housed in the meeting room </t>
  </si>
  <si>
    <t xml:space="preserve">Samantha Dooley Manager Health Services LTC </t>
  </si>
  <si>
    <t>204-585-2107</t>
  </si>
  <si>
    <t>Nortel Norstar Phones</t>
  </si>
  <si>
    <t xml:space="preserve">Jesus Dangat Manager Health Services LTC </t>
  </si>
  <si>
    <t>204-773-3117</t>
  </si>
  <si>
    <t>Gas and electric</t>
  </si>
  <si>
    <t>located at the basement and supports only the PCH</t>
  </si>
  <si>
    <t>10KW</t>
  </si>
  <si>
    <t>Cisco VOIP</t>
  </si>
  <si>
    <t>204-859-2413</t>
  </si>
  <si>
    <t xml:space="preserve">exhaust gases can be reclaimed using an absorption chiller for building cooling. Engine coolant can be routed through heat exchangers to provide a heating medium for hot water tanks </t>
  </si>
  <si>
    <t>Ambulance Shed; red plugs; bed lights &amp; north hall/public space; stove, med fridge; hot H2O tanks; baseboards in rooms; humidifiers</t>
  </si>
  <si>
    <t>40 KW</t>
  </si>
  <si>
    <t xml:space="preserve">Rossburn Health Centre </t>
  </si>
  <si>
    <t>Greg Paddock Manager Health Services LTC</t>
  </si>
  <si>
    <t>204-328-5321</t>
  </si>
  <si>
    <t>Heat, lights, outlets, phones</t>
  </si>
  <si>
    <t>30 KW</t>
  </si>
  <si>
    <t>Riverdale Health Centre Rehab</t>
  </si>
  <si>
    <t xml:space="preserve">Vicki Ketch Manager Health Services LTC </t>
  </si>
  <si>
    <t>204-578-2670</t>
  </si>
  <si>
    <t>Manual Transfer switch for limited lights and plugs</t>
  </si>
  <si>
    <t>400 kw</t>
  </si>
  <si>
    <t>Leah Black Manager Health Services LTC</t>
  </si>
  <si>
    <t>204-759-2336</t>
  </si>
  <si>
    <t>Heat acute only, lights, outlets, phones</t>
  </si>
  <si>
    <t>175 KW</t>
  </si>
  <si>
    <t xml:space="preserve">Shoal Lake Strathclair Health Centre </t>
  </si>
  <si>
    <t xml:space="preserve">Greg Paddock Manager Health Services LTC </t>
  </si>
  <si>
    <t>204-867-2569</t>
  </si>
  <si>
    <t>Nortel/Avaya BCM 450</t>
  </si>
  <si>
    <t>204-522-4300</t>
  </si>
  <si>
    <t>29.6 KW</t>
  </si>
  <si>
    <t>Melita Health Centre</t>
  </si>
  <si>
    <t>204-835-2482</t>
  </si>
  <si>
    <t>McCreary/Alonsa Health Centre</t>
  </si>
  <si>
    <t xml:space="preserve">Total Comm phones </t>
  </si>
  <si>
    <t>2 floors</t>
  </si>
  <si>
    <t xml:space="preserve">John Szabo, Administrator  </t>
  </si>
  <si>
    <t>204-728-6690</t>
  </si>
  <si>
    <t xml:space="preserve">space heaters </t>
  </si>
  <si>
    <t xml:space="preserve">All areas - no elevator, limited kitchen equipment </t>
  </si>
  <si>
    <t>80 KW</t>
  </si>
  <si>
    <t>Hillcrest Place Inc.</t>
  </si>
  <si>
    <t xml:space="preserve">Amanda Campbell Manager Health Services LTC </t>
  </si>
  <si>
    <t>204-858-2054</t>
  </si>
  <si>
    <t xml:space="preserve">Aaron Miner Manager Health Services LTC </t>
  </si>
  <si>
    <t>204-546-2769</t>
  </si>
  <si>
    <t>1 floor PCH, 2 acute</t>
  </si>
  <si>
    <t>204-827-2438</t>
  </si>
  <si>
    <t>Glenboro Hospital- Acute, Glenboro Health Clinic</t>
  </si>
  <si>
    <t xml:space="preserve">Crystal Abraham, Manager Health Services LTC </t>
  </si>
  <si>
    <t>204-548-2161</t>
  </si>
  <si>
    <t>5 floors, &amp; basement</t>
  </si>
  <si>
    <t xml:space="preserve">Nicole Chumola 204-578-2649, Jennifer Howarth Manager Health Services LTC </t>
  </si>
  <si>
    <t>204-578-2600</t>
  </si>
  <si>
    <t xml:space="preserve">All areas </t>
  </si>
  <si>
    <t>200 KW</t>
  </si>
  <si>
    <t>Tracy Mills-Manager Health Service LTC</t>
  </si>
  <si>
    <t>yes `</t>
  </si>
  <si>
    <t>204-534-3337</t>
  </si>
  <si>
    <t>lights and outletss</t>
  </si>
  <si>
    <t>50 KW</t>
  </si>
  <si>
    <t>Boissevain Health Centre-Acute</t>
  </si>
  <si>
    <t>Mitel SX200 Phones</t>
  </si>
  <si>
    <t>204-636-7777</t>
  </si>
  <si>
    <t>Lights, outlets, phones</t>
  </si>
  <si>
    <t>225 KW</t>
  </si>
  <si>
    <t>Transitional Care and PCH with Community Support programs &amp; clinic with lab</t>
  </si>
  <si>
    <t>204-845-2575</t>
  </si>
  <si>
    <t xml:space="preserve">heat in common room, fridge, lights, outlets, phones </t>
  </si>
  <si>
    <t xml:space="preserve">Rosily Kochuvareed Manager Health Services LTC </t>
  </si>
  <si>
    <t>204-447-4370</t>
  </si>
  <si>
    <t>Trois Villas 24 units.(Elderly persons House)</t>
  </si>
  <si>
    <t>NEC Phones</t>
  </si>
  <si>
    <t>3 floors</t>
  </si>
  <si>
    <t>Dan Knight, Manager Health Services</t>
  </si>
  <si>
    <t>204-727-3636</t>
  </si>
  <si>
    <t>Space heaters</t>
  </si>
  <si>
    <t>Located in the basement, powers emergency lighting and specific electrical outlets throughout the building, food coolers/freezers, 1 of 2 elevators</t>
  </si>
  <si>
    <t xml:space="preserve">Tracy Mills Manager Health Services LTC </t>
  </si>
  <si>
    <t>204-747-1816</t>
  </si>
  <si>
    <t>lights and outlights</t>
  </si>
  <si>
    <t>Deloraine Health Centre-Acute</t>
  </si>
  <si>
    <t>204-629-3300</t>
  </si>
  <si>
    <t>230 KW</t>
  </si>
  <si>
    <t>Dauphin Regional Health Centre</t>
  </si>
  <si>
    <t>204-937-2149</t>
  </si>
  <si>
    <t>base board and gas heat</t>
  </si>
  <si>
    <t>located at ambulance garage. supports clinic, acute, EMS and PCH</t>
  </si>
  <si>
    <t>Roblin District Health Center</t>
  </si>
  <si>
    <t>BCM phones</t>
  </si>
  <si>
    <t>Jocelyn Scheper- Manager Health Services- LTC</t>
  </si>
  <si>
    <t xml:space="preserve">No, may contact Charge Nurse Phone which is </t>
  </si>
  <si>
    <t>204-476-2383</t>
  </si>
  <si>
    <t xml:space="preserve">Back up power is supplied to the PCH. </t>
  </si>
  <si>
    <t>204-834-2144</t>
  </si>
  <si>
    <t xml:space="preserve">acute wing heat, lights, outlets, phones </t>
  </si>
  <si>
    <t>125 KW</t>
  </si>
  <si>
    <t>Carberry Health Center Acute, Carberry Health Clinic</t>
  </si>
  <si>
    <t>204-747-1826</t>
  </si>
  <si>
    <t>204-764-4217</t>
  </si>
  <si>
    <t>Heat acute/OR/lab, lights, outlets, phones</t>
  </si>
  <si>
    <t>45 KW</t>
  </si>
  <si>
    <t>Hamiota Health Centre - Acute</t>
  </si>
  <si>
    <t>204-539-2815</t>
  </si>
  <si>
    <t>Powers doors, freezer, cooler, fire alarm, call system, lights, phones</t>
  </si>
  <si>
    <t>Thunderhill Courts (Manitoba Housing) - This is a housing complex, not a facility- not affiliated</t>
  </si>
  <si>
    <t>Jaret Box, Manager Health Services, Long Term Care (204) 523-3209</t>
  </si>
  <si>
    <t>no - phone tree</t>
  </si>
  <si>
    <t>204-523-4661</t>
  </si>
  <si>
    <t>some lights and plug</t>
  </si>
  <si>
    <t>100 KW</t>
  </si>
  <si>
    <t>(Tri-Lake Health Centre), Killarney Acute Care</t>
  </si>
  <si>
    <t>PCH single floor on slab. TCU is 2 floors</t>
  </si>
  <si>
    <t>204-535-2373</t>
  </si>
  <si>
    <t>Lights, outlets, phones trans unit, nothing in PCH</t>
  </si>
  <si>
    <t>10 KW</t>
  </si>
  <si>
    <t>Baldur Manor (20 Bed PCH), Baldur Transitional Unit (14 Bed TCU)</t>
  </si>
  <si>
    <t>Please provide any additional information that is crucial to the site. (Optional)</t>
  </si>
  <si>
    <t>How many floors does the facility have (excluding basements, if applicable)?</t>
  </si>
  <si>
    <t>Name and position of main contact: (ex. A leadership- or an executive-level contact information)</t>
  </si>
  <si>
    <t>Does the site have backup for communication? ex: satellite phones, starlink, 2-way radios, VIOCI/Sysco phones, etc.</t>
  </si>
  <si>
    <t>Is the main phone line answered 24/7?
(Y/N)</t>
  </si>
  <si>
    <t>Main phone line contact number:</t>
  </si>
  <si>
    <t>In the event of a fire, does the site have an operational fire sprinkler system?
(Y/N)</t>
  </si>
  <si>
    <t>Does the site have alternate heating options? Is yes, please include method/technology/means. (Optional)</t>
  </si>
  <si>
    <t>Please provide additional backup generator information (ex. any location within the site not receivng power etc.).: (Optional)</t>
  </si>
  <si>
    <t>Does backup generator support the full site?</t>
  </si>
  <si>
    <t>Backup generator capacity in megawatts (MW) or kilowatts: (Optional)</t>
  </si>
  <si>
    <t>Does the site have backup generator power?
(Y/N)</t>
  </si>
  <si>
    <t>Name of the juxtaposed facility:
(Please answer only if the site is juxtaposed to another facility)</t>
  </si>
  <si>
    <t>Is the site juxtaposed to another facility?</t>
  </si>
  <si>
    <t>PCH  Name</t>
  </si>
  <si>
    <t>This document reflects the most recent updates as of February 26,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</si>
</sst>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ptos Narrow"/>
      <family val="2"/>
      <scheme val="minor"/>
    </font>
    <font>
      <b/>
      <sz val="14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b/>
      <sz val="11"/>
      <name val="Aptos Narrow"/>
      <family val="2"/>
      <scheme val="minor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2"/>
      <color rgb="FF000000"/>
      <name val="Aptos Narrow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FF0000"/>
      <name val="Arial"/>
      <family val="2"/>
    </font>
    <font>
      <b/>
      <sz val="14"/>
      <color rgb="FF000000"/>
      <name val="Arial"/>
      <family val="2"/>
    </font>
    <font>
      <b/>
      <sz val="11"/>
      <color theme="3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2" tint="-0.249977111117893"/>
        <bgColor indexed="65"/>
      </patternFill>
    </fill>
    <fill>
      <patternFill patternType="solid">
        <fgColor theme="3" tint="0.89996032593768116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BCD7F2"/>
      </patternFill>
    </fill>
    <fill>
      <patternFill patternType="solid">
        <fgColor rgb="FF85B6E7"/>
      </patternFill>
    </fill>
    <fill>
      <patternFill patternType="solid">
        <fgColor theme="3" tint="0.49995422223578601"/>
        <bgColor indexed="65"/>
      </patternFill>
    </fill>
    <fill>
      <patternFill patternType="solid">
        <fgColor theme="3" tint="0.249977111117893"/>
        <bgColor indexed="65"/>
      </patternFill>
    </fill>
    <fill>
      <patternFill patternType="solid">
        <fgColor theme="3" tint="9.9978637043366805E-2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2" tint="-0.49995422223578601"/>
        <bgColor indexed="65"/>
      </patternFill>
    </fill>
    <fill>
      <patternFill patternType="solid">
        <fgColor rgb="FFB3FFEB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0D4E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C1F0C8"/>
        <bgColor rgb="FF000000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/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/>
      <bottom style="double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double">
        <color theme="1"/>
      </bottom>
      <diagonal/>
    </border>
    <border>
      <left style="thin">
        <color indexed="8"/>
      </left>
      <right/>
      <top style="thin">
        <color indexed="8"/>
      </top>
      <bottom style="double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09">
    <xf numFmtId="0" fontId="0" fillId="0" borderId="0" xfId="0"/>
    <xf numFmtId="0" fontId="3" fillId="0" borderId="13" xfId="2" applyFont="1" applyBorder="1" applyAlignment="1">
      <alignment horizontal="center" vertical="center" wrapText="1"/>
    </xf>
    <xf numFmtId="0" fontId="4" fillId="17" borderId="0" xfId="0" applyFont="1" applyFill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16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11" fillId="2" borderId="5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12" xfId="2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1" fontId="3" fillId="17" borderId="7" xfId="0" quotePrefix="1" applyNumberFormat="1" applyFont="1" applyFill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 wrapText="1"/>
    </xf>
    <xf numFmtId="0" fontId="4" fillId="17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4" fillId="17" borderId="0" xfId="0" applyFont="1" applyFill="1" applyAlignment="1">
      <alignment horizontal="left"/>
    </xf>
    <xf numFmtId="0" fontId="3" fillId="0" borderId="14" xfId="2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4" fillId="17" borderId="6" xfId="0" applyFont="1" applyFill="1" applyBorder="1" applyAlignment="1">
      <alignment horizontal="left" wrapText="1"/>
    </xf>
    <xf numFmtId="0" fontId="3" fillId="0" borderId="6" xfId="0" applyFont="1" applyBorder="1" applyAlignment="1">
      <alignment horizontal="center"/>
    </xf>
    <xf numFmtId="0" fontId="3" fillId="0" borderId="23" xfId="2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5" fillId="15" borderId="0" xfId="0" applyFont="1" applyFill="1" applyAlignment="1">
      <alignment horizontal="left"/>
    </xf>
    <xf numFmtId="0" fontId="5" fillId="15" borderId="0" xfId="0" applyFont="1" applyFill="1" applyAlignment="1">
      <alignment horizontal="center"/>
    </xf>
    <xf numFmtId="1" fontId="5" fillId="15" borderId="21" xfId="0" applyNumberFormat="1" applyFont="1" applyFill="1" applyBorder="1" applyAlignment="1">
      <alignment horizontal="center" vertical="center"/>
    </xf>
    <xf numFmtId="0" fontId="5" fillId="15" borderId="21" xfId="0" applyFont="1" applyFill="1" applyBorder="1" applyAlignment="1">
      <alignment horizontal="center"/>
    </xf>
    <xf numFmtId="0" fontId="12" fillId="15" borderId="2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3" fillId="17" borderId="25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3" fillId="18" borderId="29" xfId="0" applyFont="1" applyFill="1" applyBorder="1"/>
    <xf numFmtId="0" fontId="13" fillId="18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vertical="center"/>
    </xf>
    <xf numFmtId="0" fontId="13" fillId="18" borderId="1" xfId="0" applyFont="1" applyFill="1" applyBorder="1"/>
    <xf numFmtId="0" fontId="13" fillId="18" borderId="1" xfId="0" applyFont="1" applyFill="1" applyBorder="1" applyAlignment="1">
      <alignment horizontal="center"/>
    </xf>
    <xf numFmtId="0" fontId="14" fillId="18" borderId="10" xfId="0" applyFont="1" applyFill="1" applyBorder="1" applyAlignment="1">
      <alignment vertical="center" wrapText="1"/>
    </xf>
    <xf numFmtId="0" fontId="15" fillId="18" borderId="1" xfId="0" applyFont="1" applyFill="1" applyBorder="1" applyAlignment="1">
      <alignment horizontal="center" vertical="center"/>
    </xf>
    <xf numFmtId="0" fontId="16" fillId="0" borderId="7" xfId="0" applyFont="1" applyBorder="1" applyAlignment="1">
      <alignment wrapText="1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vertical="center" wrapText="1"/>
    </xf>
    <xf numFmtId="0" fontId="16" fillId="0" borderId="7" xfId="0" applyFont="1" applyBorder="1" applyAlignment="1">
      <alignment horizontal="center" wrapText="1"/>
    </xf>
    <xf numFmtId="0" fontId="17" fillId="0" borderId="30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6" fillId="17" borderId="7" xfId="0" applyFont="1" applyFill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19" borderId="35" xfId="0" applyFont="1" applyFill="1" applyBorder="1" applyAlignment="1">
      <alignment horizontal="center" vertical="center" wrapText="1"/>
    </xf>
    <xf numFmtId="0" fontId="18" fillId="19" borderId="36" xfId="0" applyFont="1" applyFill="1" applyBorder="1" applyAlignment="1">
      <alignment horizontal="center" vertical="center" wrapText="1"/>
    </xf>
    <xf numFmtId="0" fontId="15" fillId="19" borderId="3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6" fillId="0" borderId="0" xfId="0" applyFont="1"/>
    <xf numFmtId="0" fontId="8" fillId="3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164" fontId="3" fillId="0" borderId="8" xfId="1" applyNumberFormat="1" applyFont="1" applyFill="1" applyBorder="1" applyAlignment="1">
      <alignment horizontal="center" vertical="top" wrapText="1"/>
    </xf>
    <xf numFmtId="164" fontId="3" fillId="0" borderId="11" xfId="1" applyNumberFormat="1" applyFont="1" applyFill="1" applyBorder="1" applyAlignment="1">
      <alignment horizontal="center" vertical="top" wrapText="1"/>
    </xf>
    <xf numFmtId="164" fontId="3" fillId="0" borderId="20" xfId="1" applyNumberFormat="1" applyFont="1" applyFill="1" applyBorder="1" applyAlignment="1">
      <alignment horizontal="center" vertical="top" wrapText="1"/>
    </xf>
    <xf numFmtId="0" fontId="7" fillId="16" borderId="7" xfId="0" applyFont="1" applyFill="1" applyBorder="1" applyAlignment="1">
      <alignment horizontal="center"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left" vertical="center"/>
    </xf>
  </cellXfs>
  <cellStyles count="3">
    <cellStyle name="Comma" xfId="1" builtinId="3"/>
    <cellStyle name="Normal" xfId="0" builtinId="0"/>
    <cellStyle name="Normal_Sheet1" xfId="2" xr:uid="{C38F8D8A-4826-4A8E-ABBD-FFA3F85E0F08}"/>
  </cellStyles>
  <dxfs count="0"/>
  <tableStyles count="0" defaultTableStyle="TableStyleMedium2" defaultPivotStyle="PivotStyleLight16"/>
  <colors>
    <mruColors>
      <color rgb="FFB3FFEB"/>
      <color rgb="FFBCD7F2"/>
      <color rgb="FFFEF5D2"/>
      <color rgb="FFFFB7B7"/>
      <color rgb="FF1B4D7F"/>
      <color rgb="FF2E82D6"/>
      <color rgb="FF85B6E7"/>
      <color rgb="FF5599DD"/>
      <color rgb="FF99C2EB"/>
      <color rgb="FF4992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04B0-AB83-A742-961B-465049092045}">
  <dimension ref="A1:V48"/>
  <sheetViews>
    <sheetView topLeftCell="A24" zoomScaleNormal="100" workbookViewId="0">
      <pane xSplit="1" topLeftCell="G1" activePane="topRight" state="frozen"/>
      <selection pane="topRight" activeCell="R38" sqref="R38:U38"/>
    </sheetView>
  </sheetViews>
  <sheetFormatPr defaultColWidth="8.54296875" defaultRowHeight="14.5" x14ac:dyDescent="0.35"/>
  <cols>
    <col min="1" max="1" width="46.54296875" style="10" customWidth="1"/>
    <col min="2" max="2" width="45.54296875" style="10" customWidth="1"/>
    <col min="3" max="3" width="36.54296875" style="10" customWidth="1"/>
    <col min="4" max="4" width="29.453125" style="10" customWidth="1"/>
    <col min="5" max="5" width="43" style="10" customWidth="1"/>
    <col min="6" max="7" width="17.453125" style="10" customWidth="1"/>
    <col min="8" max="8" width="20.36328125" style="10" customWidth="1"/>
    <col min="9" max="10" width="18" style="10" customWidth="1"/>
    <col min="11" max="11" width="24.54296875" style="10" customWidth="1"/>
    <col min="12" max="12" width="22.54296875" style="10" customWidth="1"/>
    <col min="13" max="13" width="19.453125" style="10" customWidth="1"/>
    <col min="14" max="14" width="17.08984375" style="10" customWidth="1"/>
    <col min="15" max="15" width="23.54296875" style="10" customWidth="1"/>
    <col min="16" max="16" width="26.54296875" style="10" customWidth="1"/>
    <col min="17" max="17" width="29.453125" style="10" customWidth="1"/>
    <col min="18" max="18" width="20.453125" style="10" customWidth="1"/>
    <col min="19" max="19" width="16.453125" style="10" customWidth="1"/>
    <col min="20" max="20" width="20.453125" style="10" customWidth="1"/>
    <col min="21" max="21" width="24" style="10" customWidth="1"/>
    <col min="22" max="22" width="26.36328125" style="10" customWidth="1"/>
    <col min="23" max="16384" width="8.54296875" style="10"/>
  </cols>
  <sheetData>
    <row r="1" spans="1:22" ht="50.75" customHeight="1" x14ac:dyDescent="0.35">
      <c r="R1" s="97" t="s">
        <v>0</v>
      </c>
      <c r="S1" s="98"/>
      <c r="T1" s="98"/>
    </row>
    <row r="2" spans="1:22" ht="36" x14ac:dyDescent="0.35">
      <c r="B2" s="99" t="s">
        <v>1</v>
      </c>
      <c r="C2" s="98"/>
      <c r="H2" s="11" t="s">
        <v>2</v>
      </c>
      <c r="I2" s="106" t="s">
        <v>3</v>
      </c>
      <c r="J2" s="106"/>
      <c r="O2" s="100" t="s">
        <v>4</v>
      </c>
      <c r="P2" s="101"/>
      <c r="Q2" s="101"/>
      <c r="R2" s="12" t="s">
        <v>5</v>
      </c>
      <c r="S2" s="102" t="s">
        <v>6</v>
      </c>
      <c r="T2" s="101"/>
      <c r="U2" s="13"/>
    </row>
    <row r="3" spans="1:22" s="30" customFormat="1" ht="46.5" x14ac:dyDescent="0.35">
      <c r="A3" s="14" t="s">
        <v>7</v>
      </c>
      <c r="B3" s="15" t="s">
        <v>8</v>
      </c>
      <c r="C3" s="15" t="s">
        <v>9</v>
      </c>
      <c r="D3" s="16" t="s">
        <v>10</v>
      </c>
      <c r="E3" s="16" t="s">
        <v>11</v>
      </c>
      <c r="F3" s="17" t="s">
        <v>12</v>
      </c>
      <c r="G3" s="17" t="s">
        <v>13</v>
      </c>
      <c r="H3" s="18" t="s">
        <v>166</v>
      </c>
      <c r="I3" s="19" t="s">
        <v>14</v>
      </c>
      <c r="J3" s="19" t="s">
        <v>15</v>
      </c>
      <c r="K3" s="20" t="s">
        <v>16</v>
      </c>
      <c r="L3" s="21" t="s">
        <v>17</v>
      </c>
      <c r="M3" s="22" t="s">
        <v>18</v>
      </c>
      <c r="N3" s="23" t="s">
        <v>19</v>
      </c>
      <c r="O3" s="24" t="s">
        <v>20</v>
      </c>
      <c r="P3" s="24" t="s">
        <v>21</v>
      </c>
      <c r="Q3" s="24" t="s">
        <v>22</v>
      </c>
      <c r="R3" s="25" t="s">
        <v>23</v>
      </c>
      <c r="S3" s="26" t="s">
        <v>24</v>
      </c>
      <c r="T3" s="27" t="s">
        <v>25</v>
      </c>
      <c r="U3" s="28" t="s">
        <v>26</v>
      </c>
      <c r="V3" s="29" t="s">
        <v>27</v>
      </c>
    </row>
    <row r="4" spans="1:22" ht="15.65" customHeight="1" x14ac:dyDescent="0.35">
      <c r="A4" s="2" t="s">
        <v>28</v>
      </c>
      <c r="B4" s="3" t="s">
        <v>29</v>
      </c>
      <c r="C4" s="3" t="s">
        <v>30</v>
      </c>
      <c r="D4" s="3" t="s">
        <v>31</v>
      </c>
      <c r="E4" s="31" t="s">
        <v>32</v>
      </c>
      <c r="F4" s="4" t="s">
        <v>33</v>
      </c>
      <c r="G4" s="4" t="s">
        <v>33</v>
      </c>
      <c r="H4" s="4" t="s">
        <v>33</v>
      </c>
      <c r="I4" s="5" t="s">
        <v>34</v>
      </c>
      <c r="J4" s="4" t="s">
        <v>33</v>
      </c>
      <c r="K4" s="3" t="s">
        <v>35</v>
      </c>
      <c r="L4" s="4">
        <v>20</v>
      </c>
      <c r="M4" s="32">
        <v>0</v>
      </c>
      <c r="N4" s="103" t="s">
        <v>167</v>
      </c>
      <c r="O4" s="32">
        <v>0</v>
      </c>
      <c r="P4" s="32">
        <v>0</v>
      </c>
      <c r="Q4" s="8">
        <v>0</v>
      </c>
      <c r="R4" s="3">
        <f t="shared" ref="R4:R9" si="0">ABS(U4-(S4*2+T4*3))</f>
        <v>20</v>
      </c>
      <c r="S4" s="3">
        <v>0</v>
      </c>
      <c r="T4" s="4">
        <v>0</v>
      </c>
      <c r="U4" s="3">
        <v>20</v>
      </c>
      <c r="V4" s="9"/>
    </row>
    <row r="5" spans="1:22" ht="15.5" x14ac:dyDescent="0.35">
      <c r="A5" s="2" t="s">
        <v>36</v>
      </c>
      <c r="B5" s="3" t="s">
        <v>37</v>
      </c>
      <c r="C5" s="3" t="s">
        <v>38</v>
      </c>
      <c r="D5" s="3" t="s">
        <v>31</v>
      </c>
      <c r="E5" s="1" t="s">
        <v>32</v>
      </c>
      <c r="F5" s="4" t="s">
        <v>33</v>
      </c>
      <c r="G5" s="4" t="s">
        <v>33</v>
      </c>
      <c r="H5" s="4" t="s">
        <v>33</v>
      </c>
      <c r="I5" s="5" t="s">
        <v>34</v>
      </c>
      <c r="J5" s="4" t="s">
        <v>33</v>
      </c>
      <c r="K5" s="3" t="s">
        <v>35</v>
      </c>
      <c r="L5" s="4">
        <v>60</v>
      </c>
      <c r="M5" s="32">
        <v>0</v>
      </c>
      <c r="N5" s="104"/>
      <c r="O5" s="32">
        <v>0</v>
      </c>
      <c r="P5" s="32">
        <v>0</v>
      </c>
      <c r="Q5" s="8">
        <v>0</v>
      </c>
      <c r="R5" s="3">
        <f t="shared" si="0"/>
        <v>60</v>
      </c>
      <c r="S5" s="3">
        <v>0</v>
      </c>
      <c r="T5" s="4">
        <v>0</v>
      </c>
      <c r="U5" s="3">
        <f t="shared" ref="U5:U17" si="1">SUM(L5:Q5)-N5</f>
        <v>60</v>
      </c>
      <c r="V5" s="9"/>
    </row>
    <row r="6" spans="1:22" ht="15.5" x14ac:dyDescent="0.35">
      <c r="A6" s="2" t="s">
        <v>39</v>
      </c>
      <c r="B6" s="3" t="s">
        <v>40</v>
      </c>
      <c r="C6" s="3" t="s">
        <v>41</v>
      </c>
      <c r="D6" s="3" t="s">
        <v>31</v>
      </c>
      <c r="E6" s="1" t="s">
        <v>32</v>
      </c>
      <c r="F6" s="4" t="s">
        <v>33</v>
      </c>
      <c r="G6" s="4" t="s">
        <v>33</v>
      </c>
      <c r="H6" s="4" t="s">
        <v>33</v>
      </c>
      <c r="I6" s="5" t="s">
        <v>34</v>
      </c>
      <c r="J6" s="4" t="s">
        <v>33</v>
      </c>
      <c r="K6" s="3" t="s">
        <v>35</v>
      </c>
      <c r="L6" s="4">
        <v>20</v>
      </c>
      <c r="M6" s="32">
        <v>0</v>
      </c>
      <c r="N6" s="104"/>
      <c r="O6" s="32">
        <v>0</v>
      </c>
      <c r="P6" s="32">
        <v>0</v>
      </c>
      <c r="Q6" s="8">
        <v>0</v>
      </c>
      <c r="R6" s="3">
        <f t="shared" si="0"/>
        <v>20</v>
      </c>
      <c r="S6" s="3">
        <v>0</v>
      </c>
      <c r="T6" s="4">
        <v>0</v>
      </c>
      <c r="U6" s="3">
        <f t="shared" si="1"/>
        <v>20</v>
      </c>
      <c r="V6" s="9"/>
    </row>
    <row r="7" spans="1:22" ht="15.5" x14ac:dyDescent="0.35">
      <c r="A7" s="2" t="s">
        <v>42</v>
      </c>
      <c r="B7" s="3" t="s">
        <v>43</v>
      </c>
      <c r="C7" s="3" t="s">
        <v>44</v>
      </c>
      <c r="D7" s="3" t="s">
        <v>31</v>
      </c>
      <c r="E7" s="1" t="s">
        <v>32</v>
      </c>
      <c r="F7" s="4" t="s">
        <v>33</v>
      </c>
      <c r="G7" s="4" t="s">
        <v>33</v>
      </c>
      <c r="H7" s="4" t="s">
        <v>33</v>
      </c>
      <c r="I7" s="5" t="s">
        <v>34</v>
      </c>
      <c r="J7" s="4" t="s">
        <v>33</v>
      </c>
      <c r="K7" s="3" t="s">
        <v>35</v>
      </c>
      <c r="L7" s="4">
        <v>30</v>
      </c>
      <c r="M7" s="32">
        <v>0</v>
      </c>
      <c r="N7" s="104"/>
      <c r="O7" s="32">
        <v>0</v>
      </c>
      <c r="P7" s="32">
        <v>0</v>
      </c>
      <c r="Q7" s="8">
        <v>0</v>
      </c>
      <c r="R7" s="3">
        <f t="shared" si="0"/>
        <v>30</v>
      </c>
      <c r="S7" s="3">
        <v>0</v>
      </c>
      <c r="T7" s="4">
        <v>0</v>
      </c>
      <c r="U7" s="3">
        <f t="shared" si="1"/>
        <v>30</v>
      </c>
      <c r="V7" s="9"/>
    </row>
    <row r="8" spans="1:22" ht="15.5" x14ac:dyDescent="0.35">
      <c r="A8" s="2" t="s">
        <v>45</v>
      </c>
      <c r="B8" s="3" t="s">
        <v>46</v>
      </c>
      <c r="C8" s="3" t="s">
        <v>47</v>
      </c>
      <c r="D8" s="3" t="s">
        <v>31</v>
      </c>
      <c r="E8" s="1" t="s">
        <v>32</v>
      </c>
      <c r="F8" s="4" t="s">
        <v>33</v>
      </c>
      <c r="G8" s="4" t="s">
        <v>33</v>
      </c>
      <c r="H8" s="4" t="s">
        <v>33</v>
      </c>
      <c r="I8" s="5" t="s">
        <v>34</v>
      </c>
      <c r="J8" s="4" t="s">
        <v>33</v>
      </c>
      <c r="K8" s="3" t="s">
        <v>35</v>
      </c>
      <c r="L8" s="4">
        <v>30</v>
      </c>
      <c r="M8" s="32">
        <v>0</v>
      </c>
      <c r="N8" s="104"/>
      <c r="O8" s="32">
        <v>0</v>
      </c>
      <c r="P8" s="32">
        <v>0</v>
      </c>
      <c r="Q8" s="8">
        <v>0</v>
      </c>
      <c r="R8" s="3">
        <f t="shared" si="0"/>
        <v>30</v>
      </c>
      <c r="S8" s="3">
        <v>0</v>
      </c>
      <c r="T8" s="4">
        <v>0</v>
      </c>
      <c r="U8" s="3">
        <f t="shared" si="1"/>
        <v>30</v>
      </c>
      <c r="V8" s="9"/>
    </row>
    <row r="9" spans="1:22" ht="15.5" x14ac:dyDescent="0.35">
      <c r="A9" s="2" t="s">
        <v>48</v>
      </c>
      <c r="B9" s="3" t="s">
        <v>49</v>
      </c>
      <c r="C9" s="3" t="s">
        <v>50</v>
      </c>
      <c r="D9" s="3" t="s">
        <v>31</v>
      </c>
      <c r="E9" s="1" t="s">
        <v>32</v>
      </c>
      <c r="F9" s="4" t="s">
        <v>33</v>
      </c>
      <c r="G9" s="4" t="s">
        <v>33</v>
      </c>
      <c r="H9" s="4" t="s">
        <v>33</v>
      </c>
      <c r="I9" s="5" t="s">
        <v>34</v>
      </c>
      <c r="J9" s="4" t="s">
        <v>33</v>
      </c>
      <c r="K9" s="3" t="s">
        <v>35</v>
      </c>
      <c r="L9" s="4">
        <v>36</v>
      </c>
      <c r="M9" s="32">
        <v>0</v>
      </c>
      <c r="N9" s="104"/>
      <c r="O9" s="32">
        <v>0</v>
      </c>
      <c r="P9" s="32">
        <v>0</v>
      </c>
      <c r="Q9" s="8">
        <v>0</v>
      </c>
      <c r="R9" s="3">
        <f t="shared" si="0"/>
        <v>36</v>
      </c>
      <c r="S9" s="3">
        <v>0</v>
      </c>
      <c r="T9" s="4">
        <v>0</v>
      </c>
      <c r="U9" s="3">
        <f t="shared" si="1"/>
        <v>36</v>
      </c>
      <c r="V9" s="9"/>
    </row>
    <row r="10" spans="1:22" ht="15.5" x14ac:dyDescent="0.35">
      <c r="A10" s="2" t="s">
        <v>51</v>
      </c>
      <c r="B10" s="3" t="s">
        <v>52</v>
      </c>
      <c r="C10" s="3" t="s">
        <v>53</v>
      </c>
      <c r="D10" s="3" t="s">
        <v>31</v>
      </c>
      <c r="E10" s="1" t="s">
        <v>32</v>
      </c>
      <c r="F10" s="4" t="s">
        <v>33</v>
      </c>
      <c r="G10" s="4" t="s">
        <v>33</v>
      </c>
      <c r="H10" s="4" t="s">
        <v>33</v>
      </c>
      <c r="I10" s="5" t="s">
        <v>34</v>
      </c>
      <c r="J10" s="4" t="s">
        <v>33</v>
      </c>
      <c r="K10" s="3" t="s">
        <v>35</v>
      </c>
      <c r="L10" s="4">
        <v>99</v>
      </c>
      <c r="M10" s="32">
        <v>1</v>
      </c>
      <c r="N10" s="104"/>
      <c r="O10" s="32">
        <v>0</v>
      </c>
      <c r="P10" s="32">
        <v>0</v>
      </c>
      <c r="Q10" s="8">
        <v>0</v>
      </c>
      <c r="R10" s="3">
        <v>100</v>
      </c>
      <c r="S10" s="3">
        <v>0</v>
      </c>
      <c r="T10" s="4">
        <v>0</v>
      </c>
      <c r="U10" s="3">
        <f t="shared" si="1"/>
        <v>100</v>
      </c>
      <c r="V10" s="9"/>
    </row>
    <row r="11" spans="1:22" ht="15.5" x14ac:dyDescent="0.35">
      <c r="A11" s="2" t="s">
        <v>54</v>
      </c>
      <c r="B11" s="3" t="s">
        <v>55</v>
      </c>
      <c r="C11" s="3" t="s">
        <v>56</v>
      </c>
      <c r="D11" s="3" t="s">
        <v>31</v>
      </c>
      <c r="E11" s="1" t="s">
        <v>32</v>
      </c>
      <c r="F11" s="4" t="s">
        <v>33</v>
      </c>
      <c r="G11" s="4" t="s">
        <v>33</v>
      </c>
      <c r="H11" s="4" t="s">
        <v>33</v>
      </c>
      <c r="I11" s="5" t="s">
        <v>34</v>
      </c>
      <c r="J11" s="4" t="s">
        <v>33</v>
      </c>
      <c r="K11" s="3" t="s">
        <v>35</v>
      </c>
      <c r="L11" s="4">
        <v>60</v>
      </c>
      <c r="M11" s="32">
        <v>0</v>
      </c>
      <c r="N11" s="104"/>
      <c r="O11" s="32">
        <v>0</v>
      </c>
      <c r="P11" s="32">
        <v>0</v>
      </c>
      <c r="Q11" s="8">
        <v>0</v>
      </c>
      <c r="R11" s="3">
        <f t="shared" ref="R11:R20" si="2">ABS(U11-(S11*2+T11*3))</f>
        <v>60</v>
      </c>
      <c r="S11" s="3">
        <v>0</v>
      </c>
      <c r="T11" s="4">
        <v>0</v>
      </c>
      <c r="U11" s="3">
        <f t="shared" si="1"/>
        <v>60</v>
      </c>
      <c r="V11" s="9"/>
    </row>
    <row r="12" spans="1:22" ht="15.5" x14ac:dyDescent="0.35">
      <c r="A12" s="2" t="s">
        <v>57</v>
      </c>
      <c r="B12" s="3" t="s">
        <v>58</v>
      </c>
      <c r="C12" s="3" t="s">
        <v>59</v>
      </c>
      <c r="D12" s="3" t="s">
        <v>31</v>
      </c>
      <c r="E12" s="1" t="s">
        <v>32</v>
      </c>
      <c r="F12" s="4" t="s">
        <v>33</v>
      </c>
      <c r="G12" s="4" t="s">
        <v>33</v>
      </c>
      <c r="H12" s="4" t="s">
        <v>33</v>
      </c>
      <c r="I12" s="5" t="s">
        <v>34</v>
      </c>
      <c r="J12" s="4" t="s">
        <v>33</v>
      </c>
      <c r="K12" s="3" t="s">
        <v>35</v>
      </c>
      <c r="L12" s="4">
        <v>89</v>
      </c>
      <c r="M12" s="32">
        <v>1</v>
      </c>
      <c r="N12" s="104"/>
      <c r="O12" s="32">
        <v>0</v>
      </c>
      <c r="P12" s="32">
        <v>0</v>
      </c>
      <c r="Q12" s="8">
        <v>0</v>
      </c>
      <c r="R12" s="3">
        <f t="shared" si="2"/>
        <v>90</v>
      </c>
      <c r="S12" s="3">
        <v>0</v>
      </c>
      <c r="T12" s="4">
        <v>0</v>
      </c>
      <c r="U12" s="3">
        <f t="shared" si="1"/>
        <v>90</v>
      </c>
    </row>
    <row r="13" spans="1:22" ht="15.5" x14ac:dyDescent="0.35">
      <c r="A13" s="2" t="s">
        <v>60</v>
      </c>
      <c r="B13" s="3" t="s">
        <v>46</v>
      </c>
      <c r="C13" s="3" t="s">
        <v>61</v>
      </c>
      <c r="D13" s="3" t="s">
        <v>31</v>
      </c>
      <c r="E13" s="1" t="s">
        <v>32</v>
      </c>
      <c r="F13" s="4" t="s">
        <v>33</v>
      </c>
      <c r="G13" s="4" t="s">
        <v>33</v>
      </c>
      <c r="H13" s="4" t="s">
        <v>33</v>
      </c>
      <c r="I13" s="5" t="s">
        <v>34</v>
      </c>
      <c r="J13" s="4" t="s">
        <v>33</v>
      </c>
      <c r="K13" s="3" t="s">
        <v>35</v>
      </c>
      <c r="L13" s="4">
        <v>16</v>
      </c>
      <c r="M13" s="32">
        <v>0</v>
      </c>
      <c r="N13" s="104"/>
      <c r="O13" s="32">
        <v>0</v>
      </c>
      <c r="P13" s="32">
        <v>0</v>
      </c>
      <c r="Q13" s="8">
        <v>0</v>
      </c>
      <c r="R13" s="3">
        <f t="shared" si="2"/>
        <v>16</v>
      </c>
      <c r="S13" s="3">
        <v>0</v>
      </c>
      <c r="T13" s="4">
        <v>0</v>
      </c>
      <c r="U13" s="3">
        <f t="shared" si="1"/>
        <v>16</v>
      </c>
      <c r="V13" s="9"/>
    </row>
    <row r="14" spans="1:22" ht="15.5" x14ac:dyDescent="0.35">
      <c r="A14" s="2" t="s">
        <v>62</v>
      </c>
      <c r="B14" s="3" t="s">
        <v>63</v>
      </c>
      <c r="C14" s="3" t="s">
        <v>64</v>
      </c>
      <c r="D14" s="3" t="s">
        <v>31</v>
      </c>
      <c r="E14" s="1" t="s">
        <v>32</v>
      </c>
      <c r="F14" s="4" t="s">
        <v>33</v>
      </c>
      <c r="G14" s="4" t="s">
        <v>33</v>
      </c>
      <c r="H14" s="4" t="s">
        <v>33</v>
      </c>
      <c r="I14" s="4" t="s">
        <v>34</v>
      </c>
      <c r="J14" s="5" t="s">
        <v>33</v>
      </c>
      <c r="K14" s="3"/>
      <c r="L14" s="4">
        <v>60</v>
      </c>
      <c r="M14" s="32">
        <v>0</v>
      </c>
      <c r="N14" s="104"/>
      <c r="O14" s="32">
        <v>0</v>
      </c>
      <c r="P14" s="32">
        <v>0</v>
      </c>
      <c r="Q14" s="8">
        <v>0</v>
      </c>
      <c r="R14" s="3">
        <f t="shared" si="2"/>
        <v>60</v>
      </c>
      <c r="S14" s="3">
        <v>0</v>
      </c>
      <c r="T14" s="4">
        <v>0</v>
      </c>
      <c r="U14" s="3">
        <f t="shared" si="1"/>
        <v>60</v>
      </c>
      <c r="V14" s="9"/>
    </row>
    <row r="15" spans="1:22" ht="28" x14ac:dyDescent="0.35">
      <c r="A15" s="37" t="s">
        <v>65</v>
      </c>
      <c r="B15" s="4" t="s">
        <v>66</v>
      </c>
      <c r="C15" s="4" t="s">
        <v>67</v>
      </c>
      <c r="D15" s="4" t="s">
        <v>31</v>
      </c>
      <c r="E15" s="1" t="s">
        <v>68</v>
      </c>
      <c r="F15" s="4" t="s">
        <v>34</v>
      </c>
      <c r="G15" s="4" t="s">
        <v>33</v>
      </c>
      <c r="H15" s="4" t="s">
        <v>33</v>
      </c>
      <c r="I15" s="4" t="s">
        <v>33</v>
      </c>
      <c r="J15" s="5" t="s">
        <v>34</v>
      </c>
      <c r="K15" s="3" t="s">
        <v>69</v>
      </c>
      <c r="L15" s="4">
        <v>65</v>
      </c>
      <c r="M15" s="32">
        <v>0</v>
      </c>
      <c r="N15" s="104"/>
      <c r="O15" s="32">
        <v>0</v>
      </c>
      <c r="P15" s="32">
        <v>0</v>
      </c>
      <c r="Q15" s="8">
        <v>0</v>
      </c>
      <c r="R15" s="4">
        <f t="shared" si="2"/>
        <v>65</v>
      </c>
      <c r="S15" s="4">
        <v>0</v>
      </c>
      <c r="T15" s="4">
        <v>0</v>
      </c>
      <c r="U15" s="4">
        <f t="shared" si="1"/>
        <v>65</v>
      </c>
      <c r="V15" s="9"/>
    </row>
    <row r="16" spans="1:22" ht="15.5" x14ac:dyDescent="0.35">
      <c r="A16" s="2" t="s">
        <v>70</v>
      </c>
      <c r="B16" s="3" t="s">
        <v>71</v>
      </c>
      <c r="C16" s="3" t="s">
        <v>72</v>
      </c>
      <c r="D16" s="3" t="s">
        <v>31</v>
      </c>
      <c r="E16" s="1" t="s">
        <v>32</v>
      </c>
      <c r="F16" s="4" t="s">
        <v>33</v>
      </c>
      <c r="G16" s="4" t="s">
        <v>33</v>
      </c>
      <c r="H16" s="4" t="s">
        <v>33</v>
      </c>
      <c r="I16" s="5" t="s">
        <v>34</v>
      </c>
      <c r="J16" s="4" t="s">
        <v>33</v>
      </c>
      <c r="K16" s="3" t="s">
        <v>35</v>
      </c>
      <c r="L16" s="4">
        <v>24</v>
      </c>
      <c r="M16" s="32">
        <v>0</v>
      </c>
      <c r="N16" s="104"/>
      <c r="O16" s="32">
        <v>0</v>
      </c>
      <c r="P16" s="32">
        <v>0</v>
      </c>
      <c r="Q16" s="8">
        <v>0</v>
      </c>
      <c r="R16" s="3">
        <f t="shared" si="2"/>
        <v>24</v>
      </c>
      <c r="S16" s="3">
        <v>0</v>
      </c>
      <c r="T16" s="4">
        <v>0</v>
      </c>
      <c r="U16" s="3">
        <f t="shared" si="1"/>
        <v>24</v>
      </c>
      <c r="V16" s="9"/>
    </row>
    <row r="17" spans="1:22" ht="15.5" x14ac:dyDescent="0.35">
      <c r="A17" s="33" t="s">
        <v>73</v>
      </c>
      <c r="B17" s="3" t="s">
        <v>74</v>
      </c>
      <c r="C17" s="3" t="s">
        <v>75</v>
      </c>
      <c r="D17" s="3" t="s">
        <v>31</v>
      </c>
      <c r="E17" s="1" t="s">
        <v>32</v>
      </c>
      <c r="F17" s="4" t="s">
        <v>33</v>
      </c>
      <c r="G17" s="4" t="s">
        <v>33</v>
      </c>
      <c r="H17" s="4" t="s">
        <v>33</v>
      </c>
      <c r="I17" s="5" t="s">
        <v>34</v>
      </c>
      <c r="J17" s="4" t="s">
        <v>33</v>
      </c>
      <c r="K17" s="3" t="s">
        <v>35</v>
      </c>
      <c r="L17" s="4">
        <v>16</v>
      </c>
      <c r="M17" s="32">
        <v>0</v>
      </c>
      <c r="N17" s="104"/>
      <c r="O17" s="32">
        <v>0</v>
      </c>
      <c r="P17" s="32">
        <v>0</v>
      </c>
      <c r="Q17" s="8">
        <v>0</v>
      </c>
      <c r="R17" s="3">
        <f t="shared" si="2"/>
        <v>16</v>
      </c>
      <c r="S17" s="3">
        <v>0</v>
      </c>
      <c r="T17" s="4">
        <v>0</v>
      </c>
      <c r="U17" s="3">
        <f t="shared" si="1"/>
        <v>16</v>
      </c>
      <c r="V17" s="9"/>
    </row>
    <row r="18" spans="1:22" ht="15.5" x14ac:dyDescent="0.35">
      <c r="A18" s="2" t="s">
        <v>76</v>
      </c>
      <c r="B18" s="3" t="s">
        <v>77</v>
      </c>
      <c r="C18" s="3" t="s">
        <v>78</v>
      </c>
      <c r="D18" s="3" t="s">
        <v>31</v>
      </c>
      <c r="E18" s="1" t="s">
        <v>32</v>
      </c>
      <c r="F18" s="4" t="s">
        <v>33</v>
      </c>
      <c r="G18" s="4" t="s">
        <v>33</v>
      </c>
      <c r="H18" s="4" t="s">
        <v>33</v>
      </c>
      <c r="I18" s="5" t="s">
        <v>34</v>
      </c>
      <c r="J18" s="4" t="s">
        <v>33</v>
      </c>
      <c r="K18" s="3" t="s">
        <v>35</v>
      </c>
      <c r="L18" s="4">
        <v>20</v>
      </c>
      <c r="M18" s="32">
        <v>0</v>
      </c>
      <c r="N18" s="104"/>
      <c r="O18" s="34">
        <v>0</v>
      </c>
      <c r="P18" s="32">
        <v>0</v>
      </c>
      <c r="Q18" s="8">
        <v>0</v>
      </c>
      <c r="R18" s="3">
        <f t="shared" si="2"/>
        <v>20</v>
      </c>
      <c r="S18" s="3">
        <v>0</v>
      </c>
      <c r="T18" s="4">
        <v>0</v>
      </c>
      <c r="U18" s="3">
        <v>20</v>
      </c>
      <c r="V18" s="9"/>
    </row>
    <row r="19" spans="1:22" ht="28.5" x14ac:dyDescent="0.35">
      <c r="A19" s="37" t="s">
        <v>94</v>
      </c>
      <c r="B19" s="3" t="s">
        <v>95</v>
      </c>
      <c r="C19" s="3" t="s">
        <v>96</v>
      </c>
      <c r="D19" s="38" t="s">
        <v>168</v>
      </c>
      <c r="E19" s="1" t="s">
        <v>97</v>
      </c>
      <c r="F19" s="4" t="s">
        <v>33</v>
      </c>
      <c r="G19" s="4" t="s">
        <v>33</v>
      </c>
      <c r="H19" s="5" t="s">
        <v>34</v>
      </c>
      <c r="I19" s="4" t="s">
        <v>33</v>
      </c>
      <c r="J19" s="62" t="s">
        <v>33</v>
      </c>
      <c r="K19" s="3" t="s">
        <v>35</v>
      </c>
      <c r="L19" s="4">
        <v>100</v>
      </c>
      <c r="M19" s="32">
        <v>0</v>
      </c>
      <c r="N19" s="104"/>
      <c r="O19" s="32">
        <v>0</v>
      </c>
      <c r="P19" s="32">
        <v>0</v>
      </c>
      <c r="Q19" s="36">
        <v>0</v>
      </c>
      <c r="R19" s="4">
        <f t="shared" si="2"/>
        <v>20</v>
      </c>
      <c r="S19" s="4">
        <v>40</v>
      </c>
      <c r="T19" s="4">
        <v>0</v>
      </c>
      <c r="U19" s="4">
        <f>SUM(L19:Q19)-N19</f>
        <v>100</v>
      </c>
      <c r="V19" s="9"/>
    </row>
    <row r="20" spans="1:22" ht="15.5" x14ac:dyDescent="0.35">
      <c r="A20" s="2" t="s">
        <v>165</v>
      </c>
      <c r="B20" s="3" t="s">
        <v>146</v>
      </c>
      <c r="C20" s="3" t="s">
        <v>147</v>
      </c>
      <c r="D20" s="3" t="s">
        <v>31</v>
      </c>
      <c r="E20" s="1" t="s">
        <v>97</v>
      </c>
      <c r="F20" s="4" t="s">
        <v>33</v>
      </c>
      <c r="G20" s="4" t="s">
        <v>33</v>
      </c>
      <c r="H20" s="5" t="s">
        <v>34</v>
      </c>
      <c r="I20" s="4" t="s">
        <v>33</v>
      </c>
      <c r="J20" s="61" t="s">
        <v>33</v>
      </c>
      <c r="K20" s="3" t="s">
        <v>35</v>
      </c>
      <c r="L20" s="4">
        <v>89</v>
      </c>
      <c r="M20" s="32">
        <v>0</v>
      </c>
      <c r="N20" s="104"/>
      <c r="O20" s="32">
        <v>0</v>
      </c>
      <c r="P20" s="32">
        <v>0</v>
      </c>
      <c r="Q20" s="8">
        <v>0</v>
      </c>
      <c r="R20" s="3">
        <f t="shared" si="2"/>
        <v>52</v>
      </c>
      <c r="S20" s="3">
        <v>14</v>
      </c>
      <c r="T20" s="3">
        <v>3</v>
      </c>
      <c r="U20" s="3">
        <f>SUM(L20:Q20)-N20</f>
        <v>89</v>
      </c>
      <c r="V20" s="9"/>
    </row>
    <row r="21" spans="1:22" ht="15.5" x14ac:dyDescent="0.35">
      <c r="A21" s="2" t="s">
        <v>79</v>
      </c>
      <c r="B21" s="3" t="s">
        <v>80</v>
      </c>
      <c r="C21" s="3" t="s">
        <v>81</v>
      </c>
      <c r="D21" s="3" t="s">
        <v>31</v>
      </c>
      <c r="E21" s="1" t="s">
        <v>32</v>
      </c>
      <c r="F21" s="4" t="s">
        <v>33</v>
      </c>
      <c r="G21" s="4" t="s">
        <v>33</v>
      </c>
      <c r="H21" s="4" t="s">
        <v>33</v>
      </c>
      <c r="I21" s="5" t="s">
        <v>34</v>
      </c>
      <c r="J21" s="64" t="s">
        <v>33</v>
      </c>
      <c r="K21" s="65" t="s">
        <v>35</v>
      </c>
      <c r="L21" s="4">
        <v>247</v>
      </c>
      <c r="M21" s="32">
        <v>1</v>
      </c>
      <c r="N21" s="104"/>
      <c r="O21" s="32">
        <v>0</v>
      </c>
      <c r="P21" s="32">
        <v>0</v>
      </c>
      <c r="Q21" s="8">
        <v>0</v>
      </c>
      <c r="R21" s="3">
        <v>216</v>
      </c>
      <c r="S21" s="3">
        <v>32</v>
      </c>
      <c r="T21" s="4">
        <v>0</v>
      </c>
      <c r="U21" s="3">
        <v>248</v>
      </c>
      <c r="V21" s="9"/>
    </row>
    <row r="22" spans="1:22" ht="15.5" x14ac:dyDescent="0.35">
      <c r="A22" s="2" t="s">
        <v>82</v>
      </c>
      <c r="B22" s="3" t="s">
        <v>83</v>
      </c>
      <c r="C22" s="3" t="s">
        <v>84</v>
      </c>
      <c r="D22" s="3" t="s">
        <v>31</v>
      </c>
      <c r="E22" s="1" t="s">
        <v>32</v>
      </c>
      <c r="F22" s="4" t="s">
        <v>33</v>
      </c>
      <c r="G22" s="4" t="s">
        <v>33</v>
      </c>
      <c r="H22" s="4" t="s">
        <v>33</v>
      </c>
      <c r="I22" s="5" t="s">
        <v>34</v>
      </c>
      <c r="J22" s="63" t="s">
        <v>33</v>
      </c>
      <c r="K22" s="3" t="s">
        <v>35</v>
      </c>
      <c r="L22" s="4">
        <v>30</v>
      </c>
      <c r="M22" s="35">
        <v>0</v>
      </c>
      <c r="N22" s="104"/>
      <c r="O22" s="35">
        <v>0</v>
      </c>
      <c r="P22" s="35">
        <v>0</v>
      </c>
      <c r="Q22" s="36">
        <v>0</v>
      </c>
      <c r="R22" s="3">
        <f t="shared" ref="R22:R46" si="3">ABS(U22-(S22*2+T22*3))</f>
        <v>30</v>
      </c>
      <c r="S22" s="3">
        <v>0</v>
      </c>
      <c r="T22" s="4">
        <v>0</v>
      </c>
      <c r="U22" s="3">
        <f t="shared" ref="U22:U38" si="4">SUM(L22:Q22)-N22</f>
        <v>30</v>
      </c>
      <c r="V22" s="9"/>
    </row>
    <row r="23" spans="1:22" ht="15.5" x14ac:dyDescent="0.35">
      <c r="A23" s="2" t="s">
        <v>85</v>
      </c>
      <c r="B23" s="3" t="s">
        <v>86</v>
      </c>
      <c r="C23" s="3" t="s">
        <v>87</v>
      </c>
      <c r="D23" s="3" t="s">
        <v>31</v>
      </c>
      <c r="E23" s="1" t="s">
        <v>32</v>
      </c>
      <c r="F23" s="4" t="s">
        <v>33</v>
      </c>
      <c r="G23" s="4" t="s">
        <v>33</v>
      </c>
      <c r="H23" s="4" t="s">
        <v>33</v>
      </c>
      <c r="I23" s="5" t="s">
        <v>34</v>
      </c>
      <c r="J23" s="4" t="s">
        <v>33</v>
      </c>
      <c r="K23" s="3" t="s">
        <v>35</v>
      </c>
      <c r="L23" s="4">
        <v>20</v>
      </c>
      <c r="M23" s="32">
        <v>0</v>
      </c>
      <c r="N23" s="104"/>
      <c r="O23" s="32">
        <v>0</v>
      </c>
      <c r="P23" s="32">
        <v>0</v>
      </c>
      <c r="Q23" s="8">
        <v>0</v>
      </c>
      <c r="R23" s="3">
        <f t="shared" si="3"/>
        <v>20</v>
      </c>
      <c r="S23" s="3">
        <v>0</v>
      </c>
      <c r="T23" s="4">
        <v>0</v>
      </c>
      <c r="U23" s="3">
        <f t="shared" si="4"/>
        <v>20</v>
      </c>
      <c r="V23" s="9"/>
    </row>
    <row r="24" spans="1:22" ht="15.5" x14ac:dyDescent="0.35">
      <c r="A24" s="2" t="s">
        <v>88</v>
      </c>
      <c r="B24" s="3" t="s">
        <v>89</v>
      </c>
      <c r="C24" s="3" t="s">
        <v>90</v>
      </c>
      <c r="D24" s="3" t="s">
        <v>31</v>
      </c>
      <c r="E24" s="1" t="s">
        <v>32</v>
      </c>
      <c r="F24" s="4" t="s">
        <v>33</v>
      </c>
      <c r="G24" s="4" t="s">
        <v>33</v>
      </c>
      <c r="H24" s="4" t="s">
        <v>33</v>
      </c>
      <c r="I24" s="5" t="s">
        <v>34</v>
      </c>
      <c r="J24" s="4" t="s">
        <v>33</v>
      </c>
      <c r="K24" s="3" t="s">
        <v>35</v>
      </c>
      <c r="L24" s="4">
        <v>39</v>
      </c>
      <c r="M24" s="32">
        <v>0</v>
      </c>
      <c r="N24" s="104"/>
      <c r="O24" s="32">
        <v>0</v>
      </c>
      <c r="P24" s="32">
        <v>0</v>
      </c>
      <c r="Q24" s="36">
        <v>0</v>
      </c>
      <c r="R24" s="3">
        <f t="shared" si="3"/>
        <v>39</v>
      </c>
      <c r="S24" s="3">
        <v>0</v>
      </c>
      <c r="T24" s="4">
        <v>0</v>
      </c>
      <c r="U24" s="3">
        <f t="shared" si="4"/>
        <v>39</v>
      </c>
      <c r="V24" s="9"/>
    </row>
    <row r="25" spans="1:22" ht="15.5" x14ac:dyDescent="0.35">
      <c r="A25" s="2" t="s">
        <v>91</v>
      </c>
      <c r="B25" s="3" t="s">
        <v>92</v>
      </c>
      <c r="C25" s="3" t="s">
        <v>93</v>
      </c>
      <c r="D25" s="3" t="s">
        <v>31</v>
      </c>
      <c r="E25" s="1" t="s">
        <v>32</v>
      </c>
      <c r="F25" s="4" t="s">
        <v>33</v>
      </c>
      <c r="G25" s="4" t="s">
        <v>33</v>
      </c>
      <c r="H25" s="4" t="s">
        <v>33</v>
      </c>
      <c r="I25" s="5" t="s">
        <v>34</v>
      </c>
      <c r="J25" s="4" t="s">
        <v>33</v>
      </c>
      <c r="K25" s="3" t="s">
        <v>35</v>
      </c>
      <c r="L25" s="4">
        <v>20</v>
      </c>
      <c r="M25" s="32">
        <v>0</v>
      </c>
      <c r="N25" s="104"/>
      <c r="O25" s="32">
        <v>0</v>
      </c>
      <c r="P25" s="32">
        <v>0</v>
      </c>
      <c r="Q25" s="8">
        <v>0</v>
      </c>
      <c r="R25" s="3">
        <f t="shared" si="3"/>
        <v>20</v>
      </c>
      <c r="S25" s="3">
        <v>0</v>
      </c>
      <c r="T25" s="4">
        <v>0</v>
      </c>
      <c r="U25" s="3">
        <f t="shared" si="4"/>
        <v>20</v>
      </c>
      <c r="V25" s="9"/>
    </row>
    <row r="26" spans="1:22" ht="15.5" x14ac:dyDescent="0.35">
      <c r="A26" s="33" t="s">
        <v>98</v>
      </c>
      <c r="B26" s="3" t="s">
        <v>99</v>
      </c>
      <c r="C26" s="3" t="s">
        <v>100</v>
      </c>
      <c r="D26" s="3" t="s">
        <v>31</v>
      </c>
      <c r="E26" s="1" t="s">
        <v>32</v>
      </c>
      <c r="F26" s="4" t="s">
        <v>33</v>
      </c>
      <c r="G26" s="4" t="s">
        <v>33</v>
      </c>
      <c r="H26" s="4" t="s">
        <v>33</v>
      </c>
      <c r="I26" s="5" t="s">
        <v>34</v>
      </c>
      <c r="J26" s="4" t="s">
        <v>33</v>
      </c>
      <c r="K26" s="3" t="s">
        <v>35</v>
      </c>
      <c r="L26" s="4">
        <v>20</v>
      </c>
      <c r="M26" s="32">
        <v>0</v>
      </c>
      <c r="N26" s="104"/>
      <c r="O26" s="32">
        <v>0</v>
      </c>
      <c r="P26" s="32">
        <v>0</v>
      </c>
      <c r="Q26" s="8">
        <v>0</v>
      </c>
      <c r="R26" s="3">
        <f t="shared" si="3"/>
        <v>20</v>
      </c>
      <c r="S26" s="3">
        <v>0</v>
      </c>
      <c r="T26" s="4">
        <v>0</v>
      </c>
      <c r="U26" s="3">
        <f t="shared" si="4"/>
        <v>20</v>
      </c>
      <c r="V26" s="9"/>
    </row>
    <row r="27" spans="1:22" ht="15.5" x14ac:dyDescent="0.35">
      <c r="A27" s="2" t="s">
        <v>101</v>
      </c>
      <c r="B27" s="3" t="s">
        <v>102</v>
      </c>
      <c r="C27" s="3" t="s">
        <v>103</v>
      </c>
      <c r="D27" s="3" t="s">
        <v>31</v>
      </c>
      <c r="E27" s="1" t="s">
        <v>32</v>
      </c>
      <c r="F27" s="4" t="s">
        <v>33</v>
      </c>
      <c r="G27" s="4" t="s">
        <v>33</v>
      </c>
      <c r="H27" s="4" t="s">
        <v>33</v>
      </c>
      <c r="I27" s="5" t="s">
        <v>34</v>
      </c>
      <c r="J27" s="4" t="s">
        <v>33</v>
      </c>
      <c r="K27" s="3" t="s">
        <v>35</v>
      </c>
      <c r="L27" s="4">
        <v>20</v>
      </c>
      <c r="M27" s="32">
        <v>0</v>
      </c>
      <c r="N27" s="104"/>
      <c r="O27" s="32">
        <v>0</v>
      </c>
      <c r="P27" s="32">
        <v>0</v>
      </c>
      <c r="Q27" s="8"/>
      <c r="R27" s="3">
        <f t="shared" si="3"/>
        <v>20</v>
      </c>
      <c r="S27" s="3">
        <v>0</v>
      </c>
      <c r="T27" s="4">
        <v>0</v>
      </c>
      <c r="U27" s="3">
        <f t="shared" si="4"/>
        <v>20</v>
      </c>
      <c r="V27" s="9"/>
    </row>
    <row r="28" spans="1:22" ht="15.5" x14ac:dyDescent="0.35">
      <c r="A28" s="2" t="s">
        <v>104</v>
      </c>
      <c r="B28" s="3" t="s">
        <v>105</v>
      </c>
      <c r="C28" s="3" t="s">
        <v>106</v>
      </c>
      <c r="D28" s="3" t="s">
        <v>31</v>
      </c>
      <c r="E28" s="1" t="s">
        <v>32</v>
      </c>
      <c r="F28" s="4" t="s">
        <v>33</v>
      </c>
      <c r="G28" s="4" t="s">
        <v>33</v>
      </c>
      <c r="H28" s="4" t="s">
        <v>33</v>
      </c>
      <c r="I28" s="5" t="s">
        <v>34</v>
      </c>
      <c r="J28" s="4" t="s">
        <v>33</v>
      </c>
      <c r="K28" s="3" t="s">
        <v>35</v>
      </c>
      <c r="L28" s="4">
        <v>50</v>
      </c>
      <c r="M28" s="32">
        <v>0</v>
      </c>
      <c r="N28" s="104"/>
      <c r="O28" s="32">
        <v>0</v>
      </c>
      <c r="P28" s="32">
        <v>0</v>
      </c>
      <c r="Q28" s="8">
        <v>0</v>
      </c>
      <c r="R28" s="3">
        <f t="shared" si="3"/>
        <v>50</v>
      </c>
      <c r="S28" s="3">
        <v>0</v>
      </c>
      <c r="T28" s="4">
        <v>0</v>
      </c>
      <c r="U28" s="3">
        <f t="shared" si="4"/>
        <v>50</v>
      </c>
      <c r="V28" s="9"/>
    </row>
    <row r="29" spans="1:22" ht="15.5" x14ac:dyDescent="0.35">
      <c r="A29" s="39" t="s">
        <v>107</v>
      </c>
      <c r="B29" s="3" t="s">
        <v>108</v>
      </c>
      <c r="C29" s="3" t="s">
        <v>109</v>
      </c>
      <c r="D29" s="3" t="s">
        <v>31</v>
      </c>
      <c r="E29" s="40" t="s">
        <v>32</v>
      </c>
      <c r="F29" s="4" t="s">
        <v>33</v>
      </c>
      <c r="G29" s="4" t="s">
        <v>33</v>
      </c>
      <c r="H29" s="4" t="s">
        <v>33</v>
      </c>
      <c r="I29" s="5" t="s">
        <v>34</v>
      </c>
      <c r="J29" s="4" t="s">
        <v>33</v>
      </c>
      <c r="K29" s="3" t="s">
        <v>35</v>
      </c>
      <c r="L29" s="4">
        <v>40</v>
      </c>
      <c r="M29" s="32">
        <v>0</v>
      </c>
      <c r="N29" s="104"/>
      <c r="O29" s="32">
        <v>0</v>
      </c>
      <c r="P29" s="32">
        <v>0</v>
      </c>
      <c r="Q29" s="8">
        <v>0</v>
      </c>
      <c r="R29" s="3">
        <f t="shared" si="3"/>
        <v>32</v>
      </c>
      <c r="S29" s="3">
        <v>4</v>
      </c>
      <c r="T29" s="4">
        <v>0</v>
      </c>
      <c r="U29" s="3">
        <f t="shared" si="4"/>
        <v>40</v>
      </c>
      <c r="V29" s="9"/>
    </row>
    <row r="30" spans="1:22" ht="15.5" x14ac:dyDescent="0.35">
      <c r="A30" s="2" t="s">
        <v>110</v>
      </c>
      <c r="B30" s="3" t="s">
        <v>111</v>
      </c>
      <c r="C30" s="3" t="s">
        <v>112</v>
      </c>
      <c r="D30" s="3" t="s">
        <v>31</v>
      </c>
      <c r="E30" s="1" t="s">
        <v>32</v>
      </c>
      <c r="F30" s="4" t="s">
        <v>33</v>
      </c>
      <c r="G30" s="4" t="s">
        <v>33</v>
      </c>
      <c r="H30" s="4" t="s">
        <v>33</v>
      </c>
      <c r="I30" s="5" t="s">
        <v>34</v>
      </c>
      <c r="J30" s="4" t="s">
        <v>33</v>
      </c>
      <c r="K30" s="3" t="s">
        <v>35</v>
      </c>
      <c r="L30" s="4">
        <v>100</v>
      </c>
      <c r="M30" s="32">
        <v>0</v>
      </c>
      <c r="N30" s="104"/>
      <c r="O30" s="32">
        <v>0</v>
      </c>
      <c r="P30" s="32">
        <v>0</v>
      </c>
      <c r="Q30" s="8">
        <v>0</v>
      </c>
      <c r="R30" s="3">
        <f t="shared" si="3"/>
        <v>100</v>
      </c>
      <c r="S30" s="3">
        <v>0</v>
      </c>
      <c r="T30" s="4">
        <v>0</v>
      </c>
      <c r="U30" s="3">
        <f t="shared" si="4"/>
        <v>100</v>
      </c>
      <c r="V30" s="9"/>
    </row>
    <row r="31" spans="1:22" ht="15.5" x14ac:dyDescent="0.35">
      <c r="A31" s="2" t="s">
        <v>113</v>
      </c>
      <c r="B31" s="3" t="s">
        <v>114</v>
      </c>
      <c r="C31" s="3" t="s">
        <v>115</v>
      </c>
      <c r="D31" s="3" t="s">
        <v>31</v>
      </c>
      <c r="E31" s="41" t="s">
        <v>32</v>
      </c>
      <c r="F31" s="4" t="s">
        <v>33</v>
      </c>
      <c r="G31" s="4" t="s">
        <v>33</v>
      </c>
      <c r="H31" s="4" t="s">
        <v>33</v>
      </c>
      <c r="I31" s="5" t="s">
        <v>34</v>
      </c>
      <c r="J31" s="4" t="s">
        <v>33</v>
      </c>
      <c r="K31" s="3" t="s">
        <v>35</v>
      </c>
      <c r="L31" s="4">
        <v>20</v>
      </c>
      <c r="M31" s="32">
        <v>0</v>
      </c>
      <c r="N31" s="104"/>
      <c r="O31" s="32">
        <v>0</v>
      </c>
      <c r="P31" s="32">
        <v>0</v>
      </c>
      <c r="Q31" s="8">
        <v>0</v>
      </c>
      <c r="R31" s="3">
        <f t="shared" si="3"/>
        <v>20</v>
      </c>
      <c r="S31" s="3">
        <v>0</v>
      </c>
      <c r="T31" s="4">
        <v>0</v>
      </c>
      <c r="U31" s="3">
        <f t="shared" si="4"/>
        <v>20</v>
      </c>
      <c r="V31" s="9"/>
    </row>
    <row r="32" spans="1:22" ht="15.5" x14ac:dyDescent="0.35">
      <c r="A32" s="33" t="s">
        <v>116</v>
      </c>
      <c r="B32" s="3" t="s">
        <v>117</v>
      </c>
      <c r="C32" s="3" t="s">
        <v>118</v>
      </c>
      <c r="D32" s="3" t="s">
        <v>31</v>
      </c>
      <c r="E32" s="41" t="s">
        <v>32</v>
      </c>
      <c r="F32" s="4" t="s">
        <v>33</v>
      </c>
      <c r="G32" s="4" t="s">
        <v>33</v>
      </c>
      <c r="H32" s="4" t="s">
        <v>33</v>
      </c>
      <c r="I32" s="5" t="s">
        <v>34</v>
      </c>
      <c r="J32" s="4" t="s">
        <v>33</v>
      </c>
      <c r="K32" s="3" t="s">
        <v>35</v>
      </c>
      <c r="L32" s="4">
        <v>20</v>
      </c>
      <c r="M32" s="32">
        <v>0</v>
      </c>
      <c r="N32" s="104"/>
      <c r="O32" s="32">
        <v>0</v>
      </c>
      <c r="P32" s="32">
        <v>0</v>
      </c>
      <c r="Q32" s="8">
        <v>0</v>
      </c>
      <c r="R32" s="3">
        <f t="shared" si="3"/>
        <v>20</v>
      </c>
      <c r="S32" s="3">
        <v>0</v>
      </c>
      <c r="T32" s="4">
        <v>0</v>
      </c>
      <c r="U32" s="3">
        <f t="shared" si="4"/>
        <v>20</v>
      </c>
      <c r="V32" s="9"/>
    </row>
    <row r="33" spans="1:22" ht="15.5" x14ac:dyDescent="0.35">
      <c r="A33" s="2" t="s">
        <v>119</v>
      </c>
      <c r="B33" s="3" t="s">
        <v>120</v>
      </c>
      <c r="C33" s="3" t="s">
        <v>121</v>
      </c>
      <c r="D33" s="3" t="s">
        <v>31</v>
      </c>
      <c r="E33" s="41" t="s">
        <v>32</v>
      </c>
      <c r="F33" s="4" t="s">
        <v>33</v>
      </c>
      <c r="G33" s="4" t="s">
        <v>33</v>
      </c>
      <c r="H33" s="4" t="s">
        <v>33</v>
      </c>
      <c r="I33" s="5" t="s">
        <v>34</v>
      </c>
      <c r="J33" s="4" t="s">
        <v>33</v>
      </c>
      <c r="K33" s="3" t="s">
        <v>35</v>
      </c>
      <c r="L33" s="4">
        <v>40</v>
      </c>
      <c r="M33" s="32">
        <v>0</v>
      </c>
      <c r="N33" s="104"/>
      <c r="O33" s="32">
        <v>0</v>
      </c>
      <c r="P33" s="32">
        <v>0</v>
      </c>
      <c r="Q33" s="8">
        <v>0</v>
      </c>
      <c r="R33" s="3">
        <f t="shared" si="3"/>
        <v>36</v>
      </c>
      <c r="S33" s="3">
        <v>2</v>
      </c>
      <c r="T33" s="4">
        <v>0</v>
      </c>
      <c r="U33" s="3">
        <f t="shared" si="4"/>
        <v>40</v>
      </c>
      <c r="V33" s="9"/>
    </row>
    <row r="34" spans="1:22" ht="15.5" x14ac:dyDescent="0.35">
      <c r="A34" s="2" t="s">
        <v>122</v>
      </c>
      <c r="B34" s="3" t="s">
        <v>123</v>
      </c>
      <c r="C34" s="3" t="s">
        <v>124</v>
      </c>
      <c r="D34" s="3" t="s">
        <v>31</v>
      </c>
      <c r="E34" s="31" t="s">
        <v>32</v>
      </c>
      <c r="F34" s="4" t="s">
        <v>33</v>
      </c>
      <c r="G34" s="4" t="s">
        <v>33</v>
      </c>
      <c r="H34" s="4" t="s">
        <v>33</v>
      </c>
      <c r="I34" s="5" t="s">
        <v>34</v>
      </c>
      <c r="J34" s="4" t="s">
        <v>33</v>
      </c>
      <c r="K34" s="3" t="s">
        <v>35</v>
      </c>
      <c r="L34" s="4">
        <v>35</v>
      </c>
      <c r="M34" s="32">
        <v>0</v>
      </c>
      <c r="N34" s="104"/>
      <c r="O34" s="32">
        <v>0</v>
      </c>
      <c r="P34" s="32">
        <v>0</v>
      </c>
      <c r="Q34" s="8">
        <v>0</v>
      </c>
      <c r="R34" s="3">
        <f t="shared" si="3"/>
        <v>35</v>
      </c>
      <c r="S34" s="3">
        <v>0</v>
      </c>
      <c r="T34" s="4">
        <v>0</v>
      </c>
      <c r="U34" s="3">
        <f t="shared" si="4"/>
        <v>35</v>
      </c>
      <c r="V34" s="9"/>
    </row>
    <row r="35" spans="1:22" ht="15.5" x14ac:dyDescent="0.35">
      <c r="A35" s="2" t="s">
        <v>125</v>
      </c>
      <c r="B35" s="3" t="s">
        <v>126</v>
      </c>
      <c r="C35" s="3" t="s">
        <v>127</v>
      </c>
      <c r="D35" s="3" t="s">
        <v>31</v>
      </c>
      <c r="E35" s="1" t="s">
        <v>32</v>
      </c>
      <c r="F35" s="4" t="s">
        <v>33</v>
      </c>
      <c r="G35" s="4" t="s">
        <v>33</v>
      </c>
      <c r="H35" s="4" t="s">
        <v>33</v>
      </c>
      <c r="I35" s="5" t="s">
        <v>34</v>
      </c>
      <c r="J35" s="4" t="s">
        <v>33</v>
      </c>
      <c r="K35" s="3" t="s">
        <v>35</v>
      </c>
      <c r="L35" s="4">
        <v>45</v>
      </c>
      <c r="M35" s="32">
        <v>0</v>
      </c>
      <c r="N35" s="104"/>
      <c r="O35" s="32">
        <v>0</v>
      </c>
      <c r="P35" s="32">
        <v>0</v>
      </c>
      <c r="Q35" s="8">
        <v>0</v>
      </c>
      <c r="R35" s="3">
        <f t="shared" si="3"/>
        <v>45</v>
      </c>
      <c r="S35" s="3">
        <v>0</v>
      </c>
      <c r="T35" s="4">
        <v>0</v>
      </c>
      <c r="U35" s="3">
        <f t="shared" si="4"/>
        <v>45</v>
      </c>
      <c r="V35" s="9"/>
    </row>
    <row r="36" spans="1:22" ht="15.5" x14ac:dyDescent="0.35">
      <c r="A36" s="2" t="s">
        <v>128</v>
      </c>
      <c r="B36" s="3" t="s">
        <v>129</v>
      </c>
      <c r="C36" s="3" t="s">
        <v>130</v>
      </c>
      <c r="D36" s="3" t="s">
        <v>31</v>
      </c>
      <c r="E36" s="1" t="s">
        <v>32</v>
      </c>
      <c r="F36" s="4" t="s">
        <v>33</v>
      </c>
      <c r="G36" s="4" t="s">
        <v>33</v>
      </c>
      <c r="H36" s="4" t="s">
        <v>33</v>
      </c>
      <c r="I36" s="5" t="s">
        <v>34</v>
      </c>
      <c r="J36" s="4" t="s">
        <v>33</v>
      </c>
      <c r="K36" s="3" t="s">
        <v>35</v>
      </c>
      <c r="L36" s="4">
        <v>43</v>
      </c>
      <c r="M36" s="32">
        <v>0</v>
      </c>
      <c r="N36" s="104"/>
      <c r="O36" s="32">
        <v>0</v>
      </c>
      <c r="P36" s="32">
        <v>0</v>
      </c>
      <c r="Q36" s="8">
        <v>0</v>
      </c>
      <c r="R36" s="3">
        <f t="shared" si="3"/>
        <v>43</v>
      </c>
      <c r="S36" s="3">
        <v>0</v>
      </c>
      <c r="T36" s="4">
        <v>0</v>
      </c>
      <c r="U36" s="3">
        <f t="shared" si="4"/>
        <v>43</v>
      </c>
      <c r="V36" s="9"/>
    </row>
    <row r="37" spans="1:22" ht="15.5" x14ac:dyDescent="0.35">
      <c r="A37" s="2" t="s">
        <v>131</v>
      </c>
      <c r="B37" s="3" t="s">
        <v>132</v>
      </c>
      <c r="C37" s="3" t="s">
        <v>133</v>
      </c>
      <c r="D37" s="3" t="s">
        <v>31</v>
      </c>
      <c r="E37" s="1" t="s">
        <v>32</v>
      </c>
      <c r="F37" s="4" t="s">
        <v>33</v>
      </c>
      <c r="G37" s="4" t="s">
        <v>33</v>
      </c>
      <c r="H37" s="4" t="s">
        <v>33</v>
      </c>
      <c r="I37" s="5" t="s">
        <v>34</v>
      </c>
      <c r="J37" s="4" t="s">
        <v>33</v>
      </c>
      <c r="K37" s="3" t="s">
        <v>69</v>
      </c>
      <c r="L37" s="4">
        <v>70</v>
      </c>
      <c r="M37" s="32">
        <v>0</v>
      </c>
      <c r="N37" s="104"/>
      <c r="O37" s="32">
        <v>0</v>
      </c>
      <c r="P37" s="32">
        <v>0</v>
      </c>
      <c r="Q37" s="8">
        <v>0</v>
      </c>
      <c r="R37" s="3">
        <f t="shared" si="3"/>
        <v>50</v>
      </c>
      <c r="S37" s="3">
        <v>10</v>
      </c>
      <c r="T37" s="4">
        <v>0</v>
      </c>
      <c r="U37" s="3">
        <f t="shared" si="4"/>
        <v>70</v>
      </c>
      <c r="V37" s="9"/>
    </row>
    <row r="38" spans="1:22" ht="27.65" customHeight="1" x14ac:dyDescent="0.35">
      <c r="A38" s="33" t="s">
        <v>134</v>
      </c>
      <c r="B38" s="3" t="s">
        <v>135</v>
      </c>
      <c r="C38" s="3" t="s">
        <v>136</v>
      </c>
      <c r="D38" s="3" t="s">
        <v>31</v>
      </c>
      <c r="E38" s="1" t="s">
        <v>32</v>
      </c>
      <c r="F38" s="4" t="s">
        <v>33</v>
      </c>
      <c r="G38" s="4" t="s">
        <v>33</v>
      </c>
      <c r="H38" s="4" t="s">
        <v>33</v>
      </c>
      <c r="I38" s="5" t="s">
        <v>34</v>
      </c>
      <c r="J38" s="4" t="s">
        <v>33</v>
      </c>
      <c r="K38" s="3" t="s">
        <v>35</v>
      </c>
      <c r="L38" s="4">
        <v>20</v>
      </c>
      <c r="M38" s="42">
        <v>0</v>
      </c>
      <c r="N38" s="104"/>
      <c r="O38" s="42">
        <v>0</v>
      </c>
      <c r="P38" s="42">
        <v>0</v>
      </c>
      <c r="Q38" s="8">
        <v>0</v>
      </c>
      <c r="R38" s="4">
        <f t="shared" si="3"/>
        <v>20</v>
      </c>
      <c r="S38" s="4">
        <v>0</v>
      </c>
      <c r="T38" s="4">
        <v>0</v>
      </c>
      <c r="U38" s="4">
        <f t="shared" si="4"/>
        <v>20</v>
      </c>
      <c r="V38" s="9"/>
    </row>
    <row r="39" spans="1:22" ht="15.5" x14ac:dyDescent="0.35">
      <c r="A39" s="2" t="s">
        <v>140</v>
      </c>
      <c r="B39" s="3" t="s">
        <v>141</v>
      </c>
      <c r="C39" s="3" t="s">
        <v>142</v>
      </c>
      <c r="D39" s="3" t="s">
        <v>31</v>
      </c>
      <c r="E39" s="1" t="s">
        <v>32</v>
      </c>
      <c r="F39" s="4" t="s">
        <v>33</v>
      </c>
      <c r="G39" s="4" t="s">
        <v>33</v>
      </c>
      <c r="H39" s="4" t="s">
        <v>33</v>
      </c>
      <c r="I39" s="5" t="s">
        <v>34</v>
      </c>
      <c r="J39" s="4" t="s">
        <v>33</v>
      </c>
      <c r="K39" s="3" t="s">
        <v>35</v>
      </c>
      <c r="L39" s="4">
        <v>70</v>
      </c>
      <c r="M39" s="6">
        <v>0</v>
      </c>
      <c r="N39" s="104"/>
      <c r="O39" s="6">
        <v>0</v>
      </c>
      <c r="P39" s="7">
        <v>0</v>
      </c>
      <c r="Q39" s="8">
        <v>0</v>
      </c>
      <c r="R39" s="3">
        <f t="shared" si="3"/>
        <v>70</v>
      </c>
      <c r="S39" s="3">
        <v>0</v>
      </c>
      <c r="T39" s="4">
        <v>0</v>
      </c>
      <c r="U39" s="3">
        <v>70</v>
      </c>
      <c r="V39" s="9"/>
    </row>
    <row r="40" spans="1:22" ht="15.5" x14ac:dyDescent="0.35">
      <c r="A40" s="37" t="s">
        <v>137</v>
      </c>
      <c r="B40" s="3" t="s">
        <v>138</v>
      </c>
      <c r="C40" s="3" t="s">
        <v>139</v>
      </c>
      <c r="D40" s="3" t="s">
        <v>31</v>
      </c>
      <c r="E40" s="1" t="s">
        <v>32</v>
      </c>
      <c r="F40" s="4" t="s">
        <v>33</v>
      </c>
      <c r="G40" s="4" t="s">
        <v>33</v>
      </c>
      <c r="H40" s="4" t="s">
        <v>33</v>
      </c>
      <c r="I40" s="5" t="s">
        <v>34</v>
      </c>
      <c r="J40" s="4" t="s">
        <v>33</v>
      </c>
      <c r="K40" s="3" t="s">
        <v>35</v>
      </c>
      <c r="L40" s="4">
        <v>44</v>
      </c>
      <c r="M40" s="6">
        <v>1</v>
      </c>
      <c r="N40" s="104"/>
      <c r="O40" s="6">
        <v>0</v>
      </c>
      <c r="P40" s="7">
        <v>0</v>
      </c>
      <c r="Q40" s="8">
        <v>0</v>
      </c>
      <c r="R40" s="3">
        <f t="shared" si="3"/>
        <v>45</v>
      </c>
      <c r="S40" s="3">
        <v>0</v>
      </c>
      <c r="T40" s="4">
        <v>0</v>
      </c>
      <c r="U40" s="4">
        <v>45</v>
      </c>
      <c r="V40" s="9"/>
    </row>
    <row r="41" spans="1:22" ht="15.5" x14ac:dyDescent="0.35">
      <c r="A41" s="2" t="s">
        <v>143</v>
      </c>
      <c r="B41" s="3" t="s">
        <v>144</v>
      </c>
      <c r="C41" s="3" t="s">
        <v>145</v>
      </c>
      <c r="D41" s="3" t="s">
        <v>31</v>
      </c>
      <c r="E41" s="1" t="s">
        <v>32</v>
      </c>
      <c r="F41" s="4" t="s">
        <v>33</v>
      </c>
      <c r="G41" s="4" t="s">
        <v>33</v>
      </c>
      <c r="H41" s="4" t="s">
        <v>33</v>
      </c>
      <c r="I41" s="5" t="s">
        <v>34</v>
      </c>
      <c r="J41" s="4" t="s">
        <v>33</v>
      </c>
      <c r="K41" s="3" t="s">
        <v>35</v>
      </c>
      <c r="L41" s="4">
        <v>22</v>
      </c>
      <c r="M41" s="6">
        <v>0</v>
      </c>
      <c r="N41" s="104"/>
      <c r="O41" s="6">
        <v>0</v>
      </c>
      <c r="P41" s="7">
        <v>0</v>
      </c>
      <c r="Q41" s="8">
        <v>0</v>
      </c>
      <c r="R41" s="3">
        <f t="shared" si="3"/>
        <v>22</v>
      </c>
      <c r="S41" s="3">
        <v>0</v>
      </c>
      <c r="T41" s="4">
        <v>0</v>
      </c>
      <c r="U41" s="3">
        <f t="shared" ref="U41:U46" si="5">SUM(L41:Q41)-N41</f>
        <v>22</v>
      </c>
      <c r="V41" s="9"/>
    </row>
    <row r="42" spans="1:22" ht="15.5" x14ac:dyDescent="0.35">
      <c r="A42" s="2" t="s">
        <v>148</v>
      </c>
      <c r="B42" s="3" t="s">
        <v>149</v>
      </c>
      <c r="C42" s="3" t="s">
        <v>150</v>
      </c>
      <c r="D42" s="3" t="s">
        <v>31</v>
      </c>
      <c r="E42" s="1" t="s">
        <v>32</v>
      </c>
      <c r="F42" s="4" t="s">
        <v>33</v>
      </c>
      <c r="G42" s="4" t="s">
        <v>33</v>
      </c>
      <c r="H42" s="4" t="s">
        <v>33</v>
      </c>
      <c r="I42" s="5" t="s">
        <v>34</v>
      </c>
      <c r="J42" s="4" t="s">
        <v>33</v>
      </c>
      <c r="K42" s="3" t="s">
        <v>35</v>
      </c>
      <c r="L42" s="4">
        <v>20</v>
      </c>
      <c r="M42" s="6">
        <v>0</v>
      </c>
      <c r="N42" s="104"/>
      <c r="O42" s="6">
        <v>0</v>
      </c>
      <c r="P42" s="7">
        <v>0</v>
      </c>
      <c r="Q42" s="8">
        <v>0</v>
      </c>
      <c r="R42" s="3">
        <f t="shared" si="3"/>
        <v>20</v>
      </c>
      <c r="S42" s="3">
        <v>0</v>
      </c>
      <c r="T42" s="4">
        <v>0</v>
      </c>
      <c r="U42" s="3">
        <f t="shared" si="5"/>
        <v>20</v>
      </c>
      <c r="V42" s="9"/>
    </row>
    <row r="43" spans="1:22" ht="15.5" x14ac:dyDescent="0.35">
      <c r="A43" s="2" t="s">
        <v>151</v>
      </c>
      <c r="B43" s="3" t="s">
        <v>152</v>
      </c>
      <c r="C43" s="3" t="s">
        <v>153</v>
      </c>
      <c r="D43" s="3" t="s">
        <v>31</v>
      </c>
      <c r="E43" s="1" t="s">
        <v>32</v>
      </c>
      <c r="F43" s="4" t="s">
        <v>33</v>
      </c>
      <c r="G43" s="4" t="s">
        <v>33</v>
      </c>
      <c r="H43" s="4" t="s">
        <v>33</v>
      </c>
      <c r="I43" s="5" t="s">
        <v>34</v>
      </c>
      <c r="J43" s="4" t="s">
        <v>33</v>
      </c>
      <c r="K43" s="3" t="s">
        <v>35</v>
      </c>
      <c r="L43" s="4">
        <v>49</v>
      </c>
      <c r="M43" s="6">
        <v>0</v>
      </c>
      <c r="N43" s="104"/>
      <c r="O43" s="6">
        <v>0</v>
      </c>
      <c r="P43" s="7">
        <v>0</v>
      </c>
      <c r="Q43" s="8">
        <v>0</v>
      </c>
      <c r="R43" s="3">
        <f t="shared" si="3"/>
        <v>47</v>
      </c>
      <c r="S43" s="3">
        <v>1</v>
      </c>
      <c r="T43" s="4">
        <v>0</v>
      </c>
      <c r="U43" s="3">
        <f t="shared" si="5"/>
        <v>49</v>
      </c>
      <c r="V43" s="9"/>
    </row>
    <row r="44" spans="1:22" ht="15.5" x14ac:dyDescent="0.35">
      <c r="A44" s="2" t="s">
        <v>154</v>
      </c>
      <c r="B44" s="3" t="s">
        <v>155</v>
      </c>
      <c r="C44" s="3" t="s">
        <v>156</v>
      </c>
      <c r="D44" s="3" t="s">
        <v>31</v>
      </c>
      <c r="E44" s="1" t="s">
        <v>32</v>
      </c>
      <c r="F44" s="4" t="s">
        <v>33</v>
      </c>
      <c r="G44" s="4" t="s">
        <v>33</v>
      </c>
      <c r="H44" s="4" t="s">
        <v>33</v>
      </c>
      <c r="I44" s="5" t="s">
        <v>34</v>
      </c>
      <c r="J44" s="4" t="s">
        <v>33</v>
      </c>
      <c r="K44" s="3" t="s">
        <v>35</v>
      </c>
      <c r="L44" s="4">
        <v>39</v>
      </c>
      <c r="M44" s="43">
        <v>0</v>
      </c>
      <c r="N44" s="104"/>
      <c r="O44" s="43">
        <v>0</v>
      </c>
      <c r="P44" s="43">
        <v>0</v>
      </c>
      <c r="Q44" s="8">
        <v>0</v>
      </c>
      <c r="R44" s="3">
        <f t="shared" si="3"/>
        <v>39</v>
      </c>
      <c r="S44" s="3">
        <v>0</v>
      </c>
      <c r="T44" s="4">
        <v>0</v>
      </c>
      <c r="U44" s="3">
        <f t="shared" si="5"/>
        <v>39</v>
      </c>
      <c r="V44" s="9"/>
    </row>
    <row r="45" spans="1:22" ht="15.5" x14ac:dyDescent="0.35">
      <c r="A45" s="2" t="s">
        <v>157</v>
      </c>
      <c r="B45" s="3" t="s">
        <v>158</v>
      </c>
      <c r="C45" s="3" t="s">
        <v>159</v>
      </c>
      <c r="D45" s="3" t="s">
        <v>31</v>
      </c>
      <c r="E45" s="1" t="s">
        <v>32</v>
      </c>
      <c r="F45" s="4" t="s">
        <v>33</v>
      </c>
      <c r="G45" s="4" t="s">
        <v>33</v>
      </c>
      <c r="H45" s="4" t="s">
        <v>33</v>
      </c>
      <c r="I45" s="5" t="s">
        <v>34</v>
      </c>
      <c r="J45" s="4" t="s">
        <v>33</v>
      </c>
      <c r="K45" s="3" t="s">
        <v>35</v>
      </c>
      <c r="L45" s="4">
        <v>20</v>
      </c>
      <c r="M45" s="32">
        <v>0</v>
      </c>
      <c r="N45" s="104"/>
      <c r="O45" s="32">
        <v>0</v>
      </c>
      <c r="P45" s="32">
        <v>0</v>
      </c>
      <c r="Q45" s="8">
        <v>0</v>
      </c>
      <c r="R45" s="3">
        <f t="shared" si="3"/>
        <v>20</v>
      </c>
      <c r="S45" s="3">
        <v>0</v>
      </c>
      <c r="T45" s="4">
        <v>0</v>
      </c>
      <c r="U45" s="3">
        <f t="shared" si="5"/>
        <v>20</v>
      </c>
      <c r="V45" s="9"/>
    </row>
    <row r="46" spans="1:22" ht="16" thickBot="1" x14ac:dyDescent="0.4">
      <c r="A46" s="44" t="s">
        <v>160</v>
      </c>
      <c r="B46" s="45" t="s">
        <v>161</v>
      </c>
      <c r="C46" s="45" t="s">
        <v>162</v>
      </c>
      <c r="D46" s="45" t="s">
        <v>31</v>
      </c>
      <c r="E46" s="46" t="s">
        <v>163</v>
      </c>
      <c r="F46" s="47" t="s">
        <v>33</v>
      </c>
      <c r="G46" s="47" t="s">
        <v>33</v>
      </c>
      <c r="H46" s="47" t="s">
        <v>33</v>
      </c>
      <c r="I46" s="47" t="s">
        <v>33</v>
      </c>
      <c r="J46" s="48" t="s">
        <v>34</v>
      </c>
      <c r="K46" s="45" t="s">
        <v>69</v>
      </c>
      <c r="L46" s="47">
        <v>20</v>
      </c>
      <c r="M46" s="49">
        <v>0</v>
      </c>
      <c r="N46" s="105"/>
      <c r="O46" s="49">
        <v>0</v>
      </c>
      <c r="P46" s="50">
        <v>0</v>
      </c>
      <c r="Q46" s="50">
        <v>0</v>
      </c>
      <c r="R46" s="51">
        <f t="shared" si="3"/>
        <v>20</v>
      </c>
      <c r="S46" s="52">
        <v>0</v>
      </c>
      <c r="T46" s="53">
        <v>0</v>
      </c>
      <c r="U46" s="52">
        <f t="shared" si="5"/>
        <v>20</v>
      </c>
      <c r="V46" s="54"/>
    </row>
    <row r="47" spans="1:22" s="60" customFormat="1" ht="21" customHeight="1" thickTop="1" x14ac:dyDescent="0.35">
      <c r="A47" s="55" t="s">
        <v>164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>
        <f>SUM(L4:L46)</f>
        <v>1997</v>
      </c>
      <c r="M47" s="57">
        <f>SUM(M4:M46)</f>
        <v>4</v>
      </c>
      <c r="N47" s="58">
        <v>33</v>
      </c>
      <c r="O47" s="57">
        <f ca="1">SUM(O4:O47)</f>
        <v>32</v>
      </c>
      <c r="P47" s="57">
        <f ca="1">SUM(P4:P47)</f>
        <v>0</v>
      </c>
      <c r="Q47" s="57">
        <f ca="1">SUM(Q4:Q47)</f>
        <v>0</v>
      </c>
      <c r="R47" s="58"/>
      <c r="S47" s="58">
        <f>SUM(S4:S46)</f>
        <v>103</v>
      </c>
      <c r="T47" s="58">
        <v>3</v>
      </c>
      <c r="U47" s="58">
        <f>SUM(U4:U46)</f>
        <v>2001</v>
      </c>
      <c r="V47" s="59"/>
    </row>
    <row r="48" spans="1:22" x14ac:dyDescent="0.35">
      <c r="E48" s="9"/>
      <c r="F48" s="9"/>
      <c r="G48" s="9"/>
      <c r="H48" s="9"/>
      <c r="I48" s="9"/>
      <c r="J48" s="9"/>
      <c r="K48" s="9"/>
      <c r="S48" s="9"/>
    </row>
  </sheetData>
  <sortState xmlns:xlrd2="http://schemas.microsoft.com/office/spreadsheetml/2017/richdata2" ref="A4:U46">
    <sortCondition ref="A4:A46"/>
  </sortState>
  <mergeCells count="6">
    <mergeCell ref="R1:T1"/>
    <mergeCell ref="B2:C2"/>
    <mergeCell ref="O2:Q2"/>
    <mergeCell ref="S2:T2"/>
    <mergeCell ref="N4:N46"/>
    <mergeCell ref="I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67B8-2B31-4C5C-BF3D-4819175EBD31}">
  <dimension ref="A1:O48"/>
  <sheetViews>
    <sheetView tabSelected="1" topLeftCell="A42" workbookViewId="0">
      <selection activeCell="C54" sqref="C54"/>
    </sheetView>
  </sheetViews>
  <sheetFormatPr defaultRowHeight="14.5" x14ac:dyDescent="0.35"/>
  <cols>
    <col min="1" max="1" width="39.6328125" style="66" customWidth="1"/>
    <col min="2" max="2" width="16.90625" style="67" customWidth="1"/>
    <col min="3" max="3" width="31" style="67" customWidth="1"/>
    <col min="4" max="4" width="24.6328125" style="66" customWidth="1"/>
    <col min="5" max="5" width="23" customWidth="1"/>
    <col min="6" max="6" width="25.08984375" style="66" customWidth="1"/>
    <col min="7" max="7" width="32.453125" customWidth="1"/>
    <col min="8" max="8" width="31.36328125" customWidth="1"/>
    <col min="9" max="9" width="22.54296875" style="66" customWidth="1"/>
    <col min="10" max="10" width="15.453125" style="68" customWidth="1"/>
    <col min="11" max="11" width="19" style="66" customWidth="1"/>
    <col min="12" max="12" width="30.453125" customWidth="1"/>
    <col min="13" max="13" width="32.90625" style="67" customWidth="1"/>
    <col min="14" max="14" width="26.54296875" style="66" customWidth="1"/>
    <col min="15" max="15" width="21.08984375" customWidth="1"/>
  </cols>
  <sheetData>
    <row r="1" spans="1:15" ht="18" x14ac:dyDescent="0.4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15" ht="77.25" customHeight="1" x14ac:dyDescent="0.35">
      <c r="A2" s="96" t="s">
        <v>382</v>
      </c>
      <c r="B2" s="95" t="s">
        <v>381</v>
      </c>
      <c r="C2" s="94" t="s">
        <v>380</v>
      </c>
      <c r="D2" s="94" t="s">
        <v>379</v>
      </c>
      <c r="E2" s="94" t="s">
        <v>378</v>
      </c>
      <c r="F2" s="94" t="s">
        <v>377</v>
      </c>
      <c r="G2" s="94" t="s">
        <v>376</v>
      </c>
      <c r="H2" s="94" t="s">
        <v>375</v>
      </c>
      <c r="I2" s="94" t="s">
        <v>374</v>
      </c>
      <c r="J2" s="94" t="s">
        <v>373</v>
      </c>
      <c r="K2" s="94" t="s">
        <v>372</v>
      </c>
      <c r="L2" s="94" t="s">
        <v>371</v>
      </c>
      <c r="M2" s="94" t="s">
        <v>370</v>
      </c>
      <c r="N2" s="94" t="s">
        <v>369</v>
      </c>
      <c r="O2" s="94" t="s">
        <v>368</v>
      </c>
    </row>
    <row r="3" spans="1:15" ht="44.25" customHeight="1" x14ac:dyDescent="0.35">
      <c r="A3" s="83" t="s">
        <v>28</v>
      </c>
      <c r="B3" s="93" t="s">
        <v>183</v>
      </c>
      <c r="C3" s="78" t="s">
        <v>367</v>
      </c>
      <c r="D3" s="77" t="s">
        <v>181</v>
      </c>
      <c r="E3" s="76" t="s">
        <v>366</v>
      </c>
      <c r="F3" s="77" t="s">
        <v>179</v>
      </c>
      <c r="G3" s="76" t="s">
        <v>365</v>
      </c>
      <c r="H3" s="76"/>
      <c r="I3" s="77" t="s">
        <v>33</v>
      </c>
      <c r="J3" s="79" t="s">
        <v>364</v>
      </c>
      <c r="K3" s="77" t="s">
        <v>181</v>
      </c>
      <c r="L3" s="76" t="s">
        <v>174</v>
      </c>
      <c r="M3" s="78" t="s">
        <v>357</v>
      </c>
      <c r="N3" s="77" t="s">
        <v>363</v>
      </c>
      <c r="O3" s="76" t="s">
        <v>251</v>
      </c>
    </row>
    <row r="4" spans="1:15" ht="42.75" customHeight="1" x14ac:dyDescent="0.35">
      <c r="A4" s="83" t="s">
        <v>36</v>
      </c>
      <c r="B4" s="93" t="s">
        <v>183</v>
      </c>
      <c r="C4" s="78" t="s">
        <v>362</v>
      </c>
      <c r="D4" s="77" t="s">
        <v>181</v>
      </c>
      <c r="E4" s="76" t="s">
        <v>361</v>
      </c>
      <c r="F4" s="77" t="s">
        <v>179</v>
      </c>
      <c r="G4" s="76" t="s">
        <v>360</v>
      </c>
      <c r="H4" s="76"/>
      <c r="I4" s="77" t="s">
        <v>34</v>
      </c>
      <c r="J4" s="79" t="s">
        <v>359</v>
      </c>
      <c r="K4" s="77" t="s">
        <v>358</v>
      </c>
      <c r="L4" s="76" t="s">
        <v>174</v>
      </c>
      <c r="M4" s="78" t="s">
        <v>357</v>
      </c>
      <c r="N4" s="77" t="s">
        <v>170</v>
      </c>
      <c r="O4" s="76" t="s">
        <v>184</v>
      </c>
    </row>
    <row r="5" spans="1:15" ht="61.5" customHeight="1" x14ac:dyDescent="0.35">
      <c r="A5" s="83" t="s">
        <v>39</v>
      </c>
      <c r="B5" s="93" t="s">
        <v>183</v>
      </c>
      <c r="C5" s="78" t="s">
        <v>356</v>
      </c>
      <c r="D5" s="77" t="s">
        <v>181</v>
      </c>
      <c r="E5" s="76" t="s">
        <v>199</v>
      </c>
      <c r="F5" s="77" t="s">
        <v>179</v>
      </c>
      <c r="G5" s="76" t="s">
        <v>355</v>
      </c>
      <c r="H5" s="76"/>
      <c r="I5" s="77" t="s">
        <v>187</v>
      </c>
      <c r="J5" s="79" t="s">
        <v>354</v>
      </c>
      <c r="K5" s="77" t="s">
        <v>181</v>
      </c>
      <c r="L5" s="76" t="s">
        <v>174</v>
      </c>
      <c r="M5" s="78" t="s">
        <v>219</v>
      </c>
      <c r="N5" s="77" t="s">
        <v>170</v>
      </c>
      <c r="O5" s="76" t="s">
        <v>172</v>
      </c>
    </row>
    <row r="6" spans="1:15" ht="28.5" x14ac:dyDescent="0.35">
      <c r="A6" s="83" t="s">
        <v>42</v>
      </c>
      <c r="B6" s="82" t="s">
        <v>183</v>
      </c>
      <c r="C6" s="78" t="s">
        <v>353</v>
      </c>
      <c r="D6" s="77" t="s">
        <v>181</v>
      </c>
      <c r="E6" s="76" t="s">
        <v>352</v>
      </c>
      <c r="F6" s="77" t="s">
        <v>179</v>
      </c>
      <c r="G6" s="76" t="s">
        <v>351</v>
      </c>
      <c r="H6" s="76"/>
      <c r="I6" s="77" t="s">
        <v>33</v>
      </c>
      <c r="J6" s="79" t="s">
        <v>350</v>
      </c>
      <c r="K6" s="77" t="s">
        <v>240</v>
      </c>
      <c r="L6" s="76" t="s">
        <v>174</v>
      </c>
      <c r="M6" s="78" t="s">
        <v>272</v>
      </c>
      <c r="N6" s="77" t="s">
        <v>170</v>
      </c>
      <c r="O6" s="76" t="s">
        <v>184</v>
      </c>
    </row>
    <row r="7" spans="1:15" ht="28.5" x14ac:dyDescent="0.35">
      <c r="A7" s="83" t="s">
        <v>45</v>
      </c>
      <c r="B7" s="89" t="s">
        <v>195</v>
      </c>
      <c r="C7" s="78" t="s">
        <v>194</v>
      </c>
      <c r="D7" s="77" t="s">
        <v>179</v>
      </c>
      <c r="E7" s="76" t="s">
        <v>194</v>
      </c>
      <c r="F7" s="77" t="s">
        <v>194</v>
      </c>
      <c r="G7" s="76" t="s">
        <v>193</v>
      </c>
      <c r="H7" s="76"/>
      <c r="I7" s="77" t="s">
        <v>33</v>
      </c>
      <c r="J7" s="79" t="s">
        <v>349</v>
      </c>
      <c r="K7" s="77" t="s">
        <v>181</v>
      </c>
      <c r="L7" s="76" t="s">
        <v>174</v>
      </c>
      <c r="M7" s="78" t="s">
        <v>191</v>
      </c>
      <c r="N7" s="77" t="s">
        <v>170</v>
      </c>
      <c r="O7" s="76" t="s">
        <v>251</v>
      </c>
    </row>
    <row r="8" spans="1:15" ht="28.5" x14ac:dyDescent="0.35">
      <c r="A8" s="83" t="s">
        <v>48</v>
      </c>
      <c r="B8" s="82" t="s">
        <v>183</v>
      </c>
      <c r="C8" s="78" t="s">
        <v>348</v>
      </c>
      <c r="D8" s="77" t="s">
        <v>181</v>
      </c>
      <c r="E8" s="76" t="s">
        <v>347</v>
      </c>
      <c r="F8" s="77" t="s">
        <v>179</v>
      </c>
      <c r="G8" s="76" t="s">
        <v>346</v>
      </c>
      <c r="H8" s="76"/>
      <c r="I8" s="77" t="s">
        <v>187</v>
      </c>
      <c r="J8" s="79" t="s">
        <v>345</v>
      </c>
      <c r="K8" s="77" t="s">
        <v>181</v>
      </c>
      <c r="L8" s="76" t="s">
        <v>174</v>
      </c>
      <c r="M8" s="78" t="s">
        <v>214</v>
      </c>
      <c r="N8" s="77" t="s">
        <v>170</v>
      </c>
      <c r="O8" s="76" t="s">
        <v>184</v>
      </c>
    </row>
    <row r="9" spans="1:15" ht="42" x14ac:dyDescent="0.35">
      <c r="A9" s="83" t="s">
        <v>51</v>
      </c>
      <c r="B9" s="89" t="s">
        <v>195</v>
      </c>
      <c r="C9" s="78" t="s">
        <v>194</v>
      </c>
      <c r="D9" s="77" t="s">
        <v>181</v>
      </c>
      <c r="E9" s="76" t="s">
        <v>306</v>
      </c>
      <c r="F9" s="77" t="s">
        <v>181</v>
      </c>
      <c r="G9" s="76" t="s">
        <v>344</v>
      </c>
      <c r="H9" s="76" t="s">
        <v>181</v>
      </c>
      <c r="I9" s="77" t="s">
        <v>34</v>
      </c>
      <c r="J9" s="79" t="s">
        <v>343</v>
      </c>
      <c r="K9" s="77" t="s">
        <v>342</v>
      </c>
      <c r="L9" s="76" t="s">
        <v>174</v>
      </c>
      <c r="M9" s="78" t="s">
        <v>341</v>
      </c>
      <c r="N9" s="77" t="s">
        <v>170</v>
      </c>
      <c r="O9" s="76" t="s">
        <v>340</v>
      </c>
    </row>
    <row r="10" spans="1:15" ht="42.5" x14ac:dyDescent="0.35">
      <c r="A10" s="83" t="s">
        <v>54</v>
      </c>
      <c r="B10" s="82" t="s">
        <v>183</v>
      </c>
      <c r="C10" s="78" t="s">
        <v>339</v>
      </c>
      <c r="D10" s="77" t="s">
        <v>181</v>
      </c>
      <c r="E10" s="76" t="s">
        <v>311</v>
      </c>
      <c r="F10" s="77" t="s">
        <v>181</v>
      </c>
      <c r="G10" s="76" t="s">
        <v>338</v>
      </c>
      <c r="H10" s="76" t="s">
        <v>337</v>
      </c>
      <c r="I10" s="77" t="s">
        <v>187</v>
      </c>
      <c r="J10" s="79" t="s">
        <v>336</v>
      </c>
      <c r="K10" s="77" t="s">
        <v>240</v>
      </c>
      <c r="L10" s="76" t="s">
        <v>174</v>
      </c>
      <c r="M10" s="78" t="s">
        <v>252</v>
      </c>
      <c r="N10" s="77" t="s">
        <v>170</v>
      </c>
      <c r="O10" s="76" t="s">
        <v>172</v>
      </c>
    </row>
    <row r="11" spans="1:15" ht="28.5" x14ac:dyDescent="0.35">
      <c r="A11" s="83" t="s">
        <v>57</v>
      </c>
      <c r="B11" s="82" t="s">
        <v>183</v>
      </c>
      <c r="C11" s="78" t="s">
        <v>335</v>
      </c>
      <c r="D11" s="77" t="s">
        <v>181</v>
      </c>
      <c r="E11" s="76" t="s">
        <v>334</v>
      </c>
      <c r="F11" s="77" t="s">
        <v>179</v>
      </c>
      <c r="G11" s="76" t="s">
        <v>243</v>
      </c>
      <c r="H11" s="76"/>
      <c r="I11" s="77" t="s">
        <v>187</v>
      </c>
      <c r="J11" s="79" t="s">
        <v>333</v>
      </c>
      <c r="K11" s="77" t="s">
        <v>240</v>
      </c>
      <c r="L11" s="76" t="s">
        <v>174</v>
      </c>
      <c r="M11" s="78" t="s">
        <v>300</v>
      </c>
      <c r="N11" s="77" t="s">
        <v>286</v>
      </c>
      <c r="O11" s="76" t="s">
        <v>172</v>
      </c>
    </row>
    <row r="12" spans="1:15" ht="28.5" x14ac:dyDescent="0.35">
      <c r="A12" s="83" t="s">
        <v>60</v>
      </c>
      <c r="B12" s="82" t="s">
        <v>183</v>
      </c>
      <c r="C12" s="78" t="s">
        <v>332</v>
      </c>
      <c r="D12" s="77" t="s">
        <v>181</v>
      </c>
      <c r="E12" s="76" t="s">
        <v>311</v>
      </c>
      <c r="F12" s="77" t="s">
        <v>179</v>
      </c>
      <c r="G12" s="76" t="s">
        <v>331</v>
      </c>
      <c r="H12" s="76"/>
      <c r="I12" s="77" t="s">
        <v>33</v>
      </c>
      <c r="J12" s="79" t="s">
        <v>330</v>
      </c>
      <c r="K12" s="77" t="s">
        <v>240</v>
      </c>
      <c r="L12" s="76" t="s">
        <v>174</v>
      </c>
      <c r="M12" s="78" t="s">
        <v>329</v>
      </c>
      <c r="N12" s="77" t="s">
        <v>170</v>
      </c>
      <c r="O12" s="76" t="s">
        <v>251</v>
      </c>
    </row>
    <row r="13" spans="1:15" ht="70.5" x14ac:dyDescent="0.35">
      <c r="A13" s="83" t="s">
        <v>62</v>
      </c>
      <c r="B13" s="89" t="s">
        <v>195</v>
      </c>
      <c r="C13" s="78" t="s">
        <v>194</v>
      </c>
      <c r="D13" s="77" t="s">
        <v>181</v>
      </c>
      <c r="E13" s="76" t="s">
        <v>311</v>
      </c>
      <c r="F13" s="77" t="s">
        <v>179</v>
      </c>
      <c r="G13" s="76" t="s">
        <v>328</v>
      </c>
      <c r="H13" s="76" t="s">
        <v>327</v>
      </c>
      <c r="I13" s="77" t="s">
        <v>34</v>
      </c>
      <c r="J13" s="79" t="s">
        <v>326</v>
      </c>
      <c r="K13" s="77" t="s">
        <v>240</v>
      </c>
      <c r="L13" s="76" t="s">
        <v>174</v>
      </c>
      <c r="M13" s="78" t="s">
        <v>325</v>
      </c>
      <c r="N13" s="77" t="s">
        <v>324</v>
      </c>
      <c r="O13" s="76" t="s">
        <v>323</v>
      </c>
    </row>
    <row r="14" spans="1:15" ht="28.5" x14ac:dyDescent="0.35">
      <c r="A14" s="83" t="s">
        <v>65</v>
      </c>
      <c r="B14" s="89" t="s">
        <v>183</v>
      </c>
      <c r="C14" s="78" t="s">
        <v>322</v>
      </c>
      <c r="D14" s="77" t="s">
        <v>179</v>
      </c>
      <c r="E14" s="76" t="s">
        <v>194</v>
      </c>
      <c r="F14" s="77" t="s">
        <v>194</v>
      </c>
      <c r="G14" s="76" t="s">
        <v>193</v>
      </c>
      <c r="H14" s="76"/>
      <c r="I14" s="77" t="s">
        <v>33</v>
      </c>
      <c r="J14" s="79" t="s">
        <v>321</v>
      </c>
      <c r="K14" s="77" t="s">
        <v>240</v>
      </c>
      <c r="L14" s="76" t="s">
        <v>174</v>
      </c>
      <c r="M14" s="78" t="s">
        <v>320</v>
      </c>
      <c r="N14" s="77" t="s">
        <v>170</v>
      </c>
      <c r="O14" s="76" t="s">
        <v>172</v>
      </c>
    </row>
    <row r="15" spans="1:15" ht="28.5" x14ac:dyDescent="0.35">
      <c r="A15" s="83" t="s">
        <v>70</v>
      </c>
      <c r="B15" s="89" t="s">
        <v>195</v>
      </c>
      <c r="C15" s="78" t="s">
        <v>194</v>
      </c>
      <c r="D15" s="77" t="s">
        <v>181</v>
      </c>
      <c r="E15" s="76" t="s">
        <v>199</v>
      </c>
      <c r="F15" s="77" t="s">
        <v>179</v>
      </c>
      <c r="G15" s="76" t="s">
        <v>319</v>
      </c>
      <c r="H15" s="76"/>
      <c r="I15" s="77" t="s">
        <v>242</v>
      </c>
      <c r="J15" s="79" t="s">
        <v>318</v>
      </c>
      <c r="K15" s="77" t="s">
        <v>181</v>
      </c>
      <c r="L15" s="76" t="s">
        <v>174</v>
      </c>
      <c r="M15" s="78" t="s">
        <v>185</v>
      </c>
      <c r="N15" s="77" t="s">
        <v>170</v>
      </c>
      <c r="O15" s="76" t="s">
        <v>184</v>
      </c>
    </row>
    <row r="16" spans="1:15" ht="42" x14ac:dyDescent="0.35">
      <c r="A16" s="83" t="s">
        <v>73</v>
      </c>
      <c r="B16" s="82" t="s">
        <v>183</v>
      </c>
      <c r="C16" s="78" t="s">
        <v>317</v>
      </c>
      <c r="D16" s="77" t="s">
        <v>181</v>
      </c>
      <c r="E16" s="76" t="s">
        <v>316</v>
      </c>
      <c r="F16" s="77" t="s">
        <v>181</v>
      </c>
      <c r="G16" s="76" t="s">
        <v>315</v>
      </c>
      <c r="H16" s="76"/>
      <c r="I16" s="77" t="s">
        <v>34</v>
      </c>
      <c r="J16" s="79" t="s">
        <v>314</v>
      </c>
      <c r="K16" s="77" t="s">
        <v>240</v>
      </c>
      <c r="L16" s="76" t="s">
        <v>174</v>
      </c>
      <c r="M16" s="78" t="s">
        <v>249</v>
      </c>
      <c r="N16" s="77" t="s">
        <v>170</v>
      </c>
      <c r="O16" s="76" t="s">
        <v>313</v>
      </c>
    </row>
    <row r="17" spans="1:15" ht="28.5" x14ac:dyDescent="0.35">
      <c r="A17" s="83" t="s">
        <v>76</v>
      </c>
      <c r="B17" s="82" t="s">
        <v>183</v>
      </c>
      <c r="C17" s="78" t="s">
        <v>312</v>
      </c>
      <c r="D17" s="77" t="s">
        <v>181</v>
      </c>
      <c r="E17" s="76" t="s">
        <v>311</v>
      </c>
      <c r="F17" s="77" t="s">
        <v>179</v>
      </c>
      <c r="G17" s="76" t="s">
        <v>310</v>
      </c>
      <c r="H17" s="76"/>
      <c r="I17" s="77" t="s">
        <v>33</v>
      </c>
      <c r="J17" s="79" t="s">
        <v>309</v>
      </c>
      <c r="K17" s="77" t="s">
        <v>308</v>
      </c>
      <c r="L17" s="76" t="s">
        <v>174</v>
      </c>
      <c r="M17" s="78" t="s">
        <v>307</v>
      </c>
      <c r="N17" s="77" t="s">
        <v>170</v>
      </c>
      <c r="O17" s="76" t="s">
        <v>184</v>
      </c>
    </row>
    <row r="18" spans="1:15" ht="39.75" customHeight="1" x14ac:dyDescent="0.35">
      <c r="A18" s="83" t="s">
        <v>79</v>
      </c>
      <c r="B18" s="89" t="s">
        <v>195</v>
      </c>
      <c r="C18" s="78" t="s">
        <v>194</v>
      </c>
      <c r="D18" s="77" t="s">
        <v>181</v>
      </c>
      <c r="E18" s="76" t="s">
        <v>306</v>
      </c>
      <c r="F18" s="77" t="s">
        <v>181</v>
      </c>
      <c r="G18" s="76" t="s">
        <v>305</v>
      </c>
      <c r="H18" s="76"/>
      <c r="I18" s="77" t="s">
        <v>34</v>
      </c>
      <c r="J18" s="79" t="s">
        <v>304</v>
      </c>
      <c r="K18" s="77" t="s">
        <v>181</v>
      </c>
      <c r="L18" s="76" t="s">
        <v>174</v>
      </c>
      <c r="M18" s="78" t="s">
        <v>303</v>
      </c>
      <c r="N18" s="77" t="s">
        <v>302</v>
      </c>
      <c r="O18" s="76" t="s">
        <v>257</v>
      </c>
    </row>
    <row r="19" spans="1:15" ht="28.5" x14ac:dyDescent="0.35">
      <c r="A19" s="83" t="s">
        <v>82</v>
      </c>
      <c r="B19" s="89" t="s">
        <v>195</v>
      </c>
      <c r="C19" s="78" t="s">
        <v>194</v>
      </c>
      <c r="D19" s="77" t="s">
        <v>179</v>
      </c>
      <c r="E19" s="76" t="s">
        <v>194</v>
      </c>
      <c r="F19" s="77" t="s">
        <v>194</v>
      </c>
      <c r="G19" s="76" t="s">
        <v>193</v>
      </c>
      <c r="H19" s="76"/>
      <c r="I19" s="77" t="s">
        <v>34</v>
      </c>
      <c r="J19" s="79" t="s">
        <v>301</v>
      </c>
      <c r="K19" s="77" t="s">
        <v>181</v>
      </c>
      <c r="L19" s="76" t="s">
        <v>174</v>
      </c>
      <c r="M19" s="78" t="s">
        <v>300</v>
      </c>
      <c r="N19" s="77" t="s">
        <v>170</v>
      </c>
      <c r="O19" s="76" t="s">
        <v>172</v>
      </c>
    </row>
    <row r="20" spans="1:15" ht="28.5" x14ac:dyDescent="0.35">
      <c r="A20" s="83" t="s">
        <v>85</v>
      </c>
      <c r="B20" s="82" t="s">
        <v>183</v>
      </c>
      <c r="C20" s="78" t="s">
        <v>299</v>
      </c>
      <c r="D20" s="77" t="s">
        <v>179</v>
      </c>
      <c r="E20" s="76" t="s">
        <v>194</v>
      </c>
      <c r="F20" s="77" t="s">
        <v>194</v>
      </c>
      <c r="G20" s="76" t="s">
        <v>193</v>
      </c>
      <c r="H20" s="76"/>
      <c r="I20" s="77" t="s">
        <v>33</v>
      </c>
      <c r="J20" s="79" t="s">
        <v>298</v>
      </c>
      <c r="K20" s="77" t="s">
        <v>181</v>
      </c>
      <c r="L20" s="76" t="s">
        <v>174</v>
      </c>
      <c r="M20" s="78" t="s">
        <v>214</v>
      </c>
      <c r="N20" s="77" t="s">
        <v>297</v>
      </c>
      <c r="O20" s="76" t="s">
        <v>184</v>
      </c>
    </row>
    <row r="21" spans="1:15" ht="28.5" x14ac:dyDescent="0.35">
      <c r="A21" s="83" t="s">
        <v>88</v>
      </c>
      <c r="B21" s="89" t="s">
        <v>195</v>
      </c>
      <c r="C21" s="78" t="s">
        <v>194</v>
      </c>
      <c r="D21" s="77" t="s">
        <v>179</v>
      </c>
      <c r="E21" s="76" t="s">
        <v>194</v>
      </c>
      <c r="F21" s="77" t="s">
        <v>194</v>
      </c>
      <c r="G21" s="76" t="s">
        <v>193</v>
      </c>
      <c r="H21" s="76"/>
      <c r="I21" s="77" t="s">
        <v>34</v>
      </c>
      <c r="J21" s="79" t="s">
        <v>296</v>
      </c>
      <c r="K21" s="77" t="s">
        <v>181</v>
      </c>
      <c r="L21" s="76" t="s">
        <v>174</v>
      </c>
      <c r="M21" s="78" t="s">
        <v>295</v>
      </c>
      <c r="N21" s="77" t="s">
        <v>170</v>
      </c>
      <c r="O21" s="76" t="s">
        <v>172</v>
      </c>
    </row>
    <row r="22" spans="1:15" ht="28.5" x14ac:dyDescent="0.35">
      <c r="A22" s="83" t="s">
        <v>91</v>
      </c>
      <c r="B22" s="89" t="s">
        <v>195</v>
      </c>
      <c r="C22" s="78" t="s">
        <v>194</v>
      </c>
      <c r="D22" s="77" t="s">
        <v>179</v>
      </c>
      <c r="E22" s="76" t="s">
        <v>194</v>
      </c>
      <c r="F22" s="77" t="s">
        <v>194</v>
      </c>
      <c r="G22" s="76" t="s">
        <v>193</v>
      </c>
      <c r="H22" s="76"/>
      <c r="I22" s="77" t="s">
        <v>34</v>
      </c>
      <c r="J22" s="79" t="s">
        <v>294</v>
      </c>
      <c r="K22" s="77" t="s">
        <v>240</v>
      </c>
      <c r="L22" s="76" t="s">
        <v>174</v>
      </c>
      <c r="M22" s="78" t="s">
        <v>293</v>
      </c>
      <c r="N22" s="77" t="s">
        <v>170</v>
      </c>
      <c r="O22" s="76" t="s">
        <v>251</v>
      </c>
    </row>
    <row r="23" spans="1:15" ht="28.5" x14ac:dyDescent="0.35">
      <c r="A23" s="83" t="s">
        <v>292</v>
      </c>
      <c r="B23" s="89" t="s">
        <v>195</v>
      </c>
      <c r="C23" s="78" t="s">
        <v>194</v>
      </c>
      <c r="D23" s="77" t="s">
        <v>181</v>
      </c>
      <c r="E23" s="76" t="s">
        <v>291</v>
      </c>
      <c r="F23" s="77" t="s">
        <v>181</v>
      </c>
      <c r="G23" s="76" t="s">
        <v>290</v>
      </c>
      <c r="H23" s="76" t="s">
        <v>289</v>
      </c>
      <c r="I23" s="90" t="s">
        <v>34</v>
      </c>
      <c r="J23" s="79" t="s">
        <v>288</v>
      </c>
      <c r="K23" s="77" t="s">
        <v>181</v>
      </c>
      <c r="L23" s="76"/>
      <c r="M23" s="78" t="s">
        <v>287</v>
      </c>
      <c r="N23" s="77" t="s">
        <v>286</v>
      </c>
      <c r="O23" s="76" t="s">
        <v>285</v>
      </c>
    </row>
    <row r="24" spans="1:15" ht="28.5" x14ac:dyDescent="0.35">
      <c r="A24" s="83" t="s">
        <v>98</v>
      </c>
      <c r="B24" s="82" t="s">
        <v>183</v>
      </c>
      <c r="C24" s="78" t="s">
        <v>284</v>
      </c>
      <c r="D24" s="77" t="s">
        <v>179</v>
      </c>
      <c r="E24" s="76" t="s">
        <v>194</v>
      </c>
      <c r="F24" s="77" t="s">
        <v>194</v>
      </c>
      <c r="G24" s="76" t="s">
        <v>193</v>
      </c>
      <c r="H24" s="76"/>
      <c r="I24" s="77" t="s">
        <v>242</v>
      </c>
      <c r="J24" s="79" t="s">
        <v>283</v>
      </c>
      <c r="K24" s="77" t="s">
        <v>240</v>
      </c>
      <c r="L24" s="76" t="s">
        <v>174</v>
      </c>
      <c r="M24" s="78" t="s">
        <v>249</v>
      </c>
      <c r="N24" s="77" t="s">
        <v>170</v>
      </c>
      <c r="O24" s="76" t="s">
        <v>172</v>
      </c>
    </row>
    <row r="25" spans="1:15" ht="28.5" x14ac:dyDescent="0.35">
      <c r="A25" s="92" t="s">
        <v>101</v>
      </c>
      <c r="B25" s="82" t="s">
        <v>183</v>
      </c>
      <c r="C25" s="78" t="s">
        <v>282</v>
      </c>
      <c r="D25" s="77" t="s">
        <v>181</v>
      </c>
      <c r="E25" s="76" t="s">
        <v>281</v>
      </c>
      <c r="F25" s="77" t="s">
        <v>179</v>
      </c>
      <c r="G25" s="76" t="s">
        <v>188</v>
      </c>
      <c r="H25" s="76"/>
      <c r="I25" s="77" t="s">
        <v>33</v>
      </c>
      <c r="J25" s="79" t="s">
        <v>280</v>
      </c>
      <c r="K25" s="77" t="s">
        <v>181</v>
      </c>
      <c r="L25" s="76" t="s">
        <v>174</v>
      </c>
      <c r="M25" s="78" t="s">
        <v>185</v>
      </c>
      <c r="N25" s="77" t="s">
        <v>170</v>
      </c>
      <c r="O25" s="76" t="s">
        <v>279</v>
      </c>
    </row>
    <row r="26" spans="1:15" ht="28.5" x14ac:dyDescent="0.35">
      <c r="A26" s="83" t="s">
        <v>104</v>
      </c>
      <c r="B26" s="82" t="s">
        <v>195</v>
      </c>
      <c r="C26" s="78" t="s">
        <v>194</v>
      </c>
      <c r="D26" s="77" t="s">
        <v>179</v>
      </c>
      <c r="E26" s="76" t="s">
        <v>194</v>
      </c>
      <c r="F26" s="77" t="s">
        <v>194</v>
      </c>
      <c r="G26" s="76" t="s">
        <v>193</v>
      </c>
      <c r="H26" s="76"/>
      <c r="I26" s="77" t="s">
        <v>33</v>
      </c>
      <c r="J26" s="79" t="s">
        <v>278</v>
      </c>
      <c r="K26" s="77" t="s">
        <v>181</v>
      </c>
      <c r="L26" s="76" t="s">
        <v>174</v>
      </c>
      <c r="M26" s="78" t="s">
        <v>277</v>
      </c>
      <c r="N26" s="77" t="s">
        <v>170</v>
      </c>
      <c r="O26" s="76" t="s">
        <v>184</v>
      </c>
    </row>
    <row r="27" spans="1:15" ht="28.5" x14ac:dyDescent="0.35">
      <c r="A27" s="91" t="s">
        <v>107</v>
      </c>
      <c r="B27" s="89" t="s">
        <v>183</v>
      </c>
      <c r="C27" s="78" t="s">
        <v>276</v>
      </c>
      <c r="D27" s="77" t="s">
        <v>181</v>
      </c>
      <c r="E27" s="76" t="s">
        <v>275</v>
      </c>
      <c r="F27" s="77" t="s">
        <v>179</v>
      </c>
      <c r="G27" s="76" t="s">
        <v>274</v>
      </c>
      <c r="H27" s="76"/>
      <c r="I27" s="90" t="s">
        <v>33</v>
      </c>
      <c r="J27" s="79" t="s">
        <v>273</v>
      </c>
      <c r="K27" s="77" t="s">
        <v>240</v>
      </c>
      <c r="L27" s="76" t="s">
        <v>174</v>
      </c>
      <c r="M27" s="78" t="s">
        <v>272</v>
      </c>
      <c r="N27" s="77" t="s">
        <v>170</v>
      </c>
      <c r="O27" s="76" t="s">
        <v>257</v>
      </c>
    </row>
    <row r="28" spans="1:15" ht="28.5" x14ac:dyDescent="0.35">
      <c r="A28" s="83" t="s">
        <v>110</v>
      </c>
      <c r="B28" s="89" t="s">
        <v>195</v>
      </c>
      <c r="C28" s="78" t="s">
        <v>194</v>
      </c>
      <c r="D28" s="77" t="s">
        <v>181</v>
      </c>
      <c r="E28" s="76" t="s">
        <v>271</v>
      </c>
      <c r="F28" s="77" t="s">
        <v>181</v>
      </c>
      <c r="G28" s="76" t="s">
        <v>270</v>
      </c>
      <c r="H28" s="76"/>
      <c r="I28" s="77" t="s">
        <v>34</v>
      </c>
      <c r="J28" s="79" t="s">
        <v>269</v>
      </c>
      <c r="K28" s="77" t="s">
        <v>181</v>
      </c>
      <c r="L28" s="76" t="s">
        <v>174</v>
      </c>
      <c r="M28" s="78" t="s">
        <v>268</v>
      </c>
      <c r="N28" s="77" t="s">
        <v>170</v>
      </c>
      <c r="O28" s="76" t="s">
        <v>257</v>
      </c>
    </row>
    <row r="29" spans="1:15" ht="28.5" x14ac:dyDescent="0.35">
      <c r="A29" s="83" t="s">
        <v>113</v>
      </c>
      <c r="B29" s="82" t="s">
        <v>183</v>
      </c>
      <c r="C29" s="78" t="s">
        <v>267</v>
      </c>
      <c r="D29" s="77" t="s">
        <v>181</v>
      </c>
      <c r="E29" s="76" t="s">
        <v>266</v>
      </c>
      <c r="F29" s="77" t="s">
        <v>179</v>
      </c>
      <c r="G29" s="76" t="s">
        <v>265</v>
      </c>
      <c r="H29" s="76"/>
      <c r="I29" s="77" t="s">
        <v>33</v>
      </c>
      <c r="J29" s="79" t="s">
        <v>264</v>
      </c>
      <c r="K29" s="77" t="s">
        <v>240</v>
      </c>
      <c r="L29" s="76" t="s">
        <v>174</v>
      </c>
      <c r="M29" s="78" t="s">
        <v>263</v>
      </c>
      <c r="N29" s="77" t="s">
        <v>170</v>
      </c>
      <c r="O29" s="76" t="s">
        <v>251</v>
      </c>
    </row>
    <row r="30" spans="1:15" ht="92.25" customHeight="1" x14ac:dyDescent="0.35">
      <c r="A30" s="83" t="s">
        <v>116</v>
      </c>
      <c r="B30" s="82" t="s">
        <v>183</v>
      </c>
      <c r="C30" s="78" t="s">
        <v>262</v>
      </c>
      <c r="D30" s="77" t="s">
        <v>181</v>
      </c>
      <c r="E30" s="76" t="s">
        <v>261</v>
      </c>
      <c r="F30" s="77" t="s">
        <v>179</v>
      </c>
      <c r="G30" s="78" t="s">
        <v>260</v>
      </c>
      <c r="H30" s="76" t="s">
        <v>259</v>
      </c>
      <c r="I30" s="77" t="s">
        <v>33</v>
      </c>
      <c r="J30" s="79" t="s">
        <v>258</v>
      </c>
      <c r="K30" s="77" t="s">
        <v>181</v>
      </c>
      <c r="L30" s="78" t="s">
        <v>174</v>
      </c>
      <c r="M30" s="78" t="s">
        <v>228</v>
      </c>
      <c r="N30" s="77" t="s">
        <v>170</v>
      </c>
      <c r="O30" s="76" t="s">
        <v>257</v>
      </c>
    </row>
    <row r="31" spans="1:15" ht="28.5" x14ac:dyDescent="0.35">
      <c r="A31" s="83" t="s">
        <v>119</v>
      </c>
      <c r="B31" s="89" t="s">
        <v>195</v>
      </c>
      <c r="C31" s="78" t="s">
        <v>194</v>
      </c>
      <c r="D31" s="77" t="s">
        <v>181</v>
      </c>
      <c r="E31" s="76" t="s">
        <v>256</v>
      </c>
      <c r="F31" s="77" t="s">
        <v>181</v>
      </c>
      <c r="G31" s="76" t="s">
        <v>255</v>
      </c>
      <c r="H31" s="76" t="s">
        <v>254</v>
      </c>
      <c r="I31" s="77" t="s">
        <v>34</v>
      </c>
      <c r="J31" s="79" t="s">
        <v>253</v>
      </c>
      <c r="K31" s="77" t="s">
        <v>240</v>
      </c>
      <c r="L31" s="76" t="s">
        <v>174</v>
      </c>
      <c r="M31" s="78" t="s">
        <v>252</v>
      </c>
      <c r="N31" s="77" t="s">
        <v>170</v>
      </c>
      <c r="O31" s="76" t="s">
        <v>251</v>
      </c>
    </row>
    <row r="32" spans="1:15" ht="28.5" x14ac:dyDescent="0.35">
      <c r="A32" s="83" t="s">
        <v>122</v>
      </c>
      <c r="B32" s="89" t="s">
        <v>195</v>
      </c>
      <c r="C32" s="78" t="s">
        <v>194</v>
      </c>
      <c r="D32" s="77" t="s">
        <v>179</v>
      </c>
      <c r="E32" s="76" t="s">
        <v>194</v>
      </c>
      <c r="F32" s="77" t="s">
        <v>194</v>
      </c>
      <c r="G32" s="76" t="s">
        <v>193</v>
      </c>
      <c r="H32" s="76"/>
      <c r="I32" s="77" t="s">
        <v>33</v>
      </c>
      <c r="J32" s="79" t="s">
        <v>250</v>
      </c>
      <c r="K32" s="77" t="s">
        <v>240</v>
      </c>
      <c r="L32" s="76" t="s">
        <v>174</v>
      </c>
      <c r="M32" s="78" t="s">
        <v>249</v>
      </c>
      <c r="N32" s="77" t="s">
        <v>170</v>
      </c>
      <c r="O32" s="76" t="s">
        <v>184</v>
      </c>
    </row>
    <row r="33" spans="1:15" ht="42.5" x14ac:dyDescent="0.35">
      <c r="A33" s="83" t="s">
        <v>125</v>
      </c>
      <c r="B33" s="89" t="s">
        <v>195</v>
      </c>
      <c r="C33" s="78" t="s">
        <v>194</v>
      </c>
      <c r="D33" s="77" t="s">
        <v>179</v>
      </c>
      <c r="E33" s="76" t="s">
        <v>194</v>
      </c>
      <c r="F33" s="77" t="s">
        <v>194</v>
      </c>
      <c r="G33" s="76" t="s">
        <v>193</v>
      </c>
      <c r="H33" s="76" t="s">
        <v>248</v>
      </c>
      <c r="I33" s="77" t="s">
        <v>34</v>
      </c>
      <c r="J33" s="79" t="s">
        <v>247</v>
      </c>
      <c r="K33" s="77" t="s">
        <v>181</v>
      </c>
      <c r="L33" s="76" t="s">
        <v>174</v>
      </c>
      <c r="M33" s="78" t="s">
        <v>196</v>
      </c>
      <c r="N33" s="77" t="s">
        <v>170</v>
      </c>
      <c r="O33" s="76" t="s">
        <v>246</v>
      </c>
    </row>
    <row r="34" spans="1:15" ht="28.5" x14ac:dyDescent="0.35">
      <c r="A34" s="83" t="s">
        <v>128</v>
      </c>
      <c r="B34" s="82" t="s">
        <v>183</v>
      </c>
      <c r="C34" s="78" t="s">
        <v>245</v>
      </c>
      <c r="D34" s="77" t="s">
        <v>181</v>
      </c>
      <c r="E34" s="76" t="s">
        <v>244</v>
      </c>
      <c r="F34" s="77" t="s">
        <v>179</v>
      </c>
      <c r="G34" s="76" t="s">
        <v>243</v>
      </c>
      <c r="H34" s="76"/>
      <c r="I34" s="77" t="s">
        <v>242</v>
      </c>
      <c r="J34" s="79" t="s">
        <v>241</v>
      </c>
      <c r="K34" s="77" t="s">
        <v>240</v>
      </c>
      <c r="L34" s="76" t="s">
        <v>174</v>
      </c>
      <c r="M34" s="78" t="s">
        <v>201</v>
      </c>
      <c r="N34" s="77" t="s">
        <v>170</v>
      </c>
      <c r="O34" s="76" t="s">
        <v>239</v>
      </c>
    </row>
    <row r="35" spans="1:15" ht="28.5" x14ac:dyDescent="0.35">
      <c r="A35" s="83" t="s">
        <v>131</v>
      </c>
      <c r="B35" s="89" t="s">
        <v>195</v>
      </c>
      <c r="C35" s="78" t="s">
        <v>194</v>
      </c>
      <c r="D35" s="77" t="s">
        <v>181</v>
      </c>
      <c r="E35" s="76" t="s">
        <v>238</v>
      </c>
      <c r="F35" s="77" t="s">
        <v>181</v>
      </c>
      <c r="G35" s="76" t="s">
        <v>237</v>
      </c>
      <c r="H35" s="76" t="s">
        <v>236</v>
      </c>
      <c r="I35" s="77" t="s">
        <v>34</v>
      </c>
      <c r="J35" s="79" t="s">
        <v>235</v>
      </c>
      <c r="K35" s="77" t="s">
        <v>181</v>
      </c>
      <c r="L35" s="76" t="s">
        <v>174</v>
      </c>
      <c r="M35" s="78" t="s">
        <v>234</v>
      </c>
      <c r="N35" s="77" t="s">
        <v>170</v>
      </c>
      <c r="O35" s="76" t="s">
        <v>172</v>
      </c>
    </row>
    <row r="36" spans="1:15" ht="70.5" x14ac:dyDescent="0.35">
      <c r="A36" s="83" t="s">
        <v>134</v>
      </c>
      <c r="B36" s="82" t="s">
        <v>183</v>
      </c>
      <c r="C36" s="78" t="s">
        <v>233</v>
      </c>
      <c r="D36" s="77" t="s">
        <v>181</v>
      </c>
      <c r="E36" s="76" t="s">
        <v>232</v>
      </c>
      <c r="F36" s="77" t="s">
        <v>179</v>
      </c>
      <c r="G36" s="76" t="s">
        <v>231</v>
      </c>
      <c r="H36" s="76" t="s">
        <v>230</v>
      </c>
      <c r="I36" s="77" t="s">
        <v>34</v>
      </c>
      <c r="J36" s="79" t="s">
        <v>229</v>
      </c>
      <c r="K36" s="77" t="s">
        <v>181</v>
      </c>
      <c r="L36" s="76" t="s">
        <v>174</v>
      </c>
      <c r="M36" s="78" t="s">
        <v>228</v>
      </c>
      <c r="N36" s="77" t="s">
        <v>227</v>
      </c>
      <c r="O36" s="76" t="s">
        <v>184</v>
      </c>
    </row>
    <row r="37" spans="1:15" ht="56.5" x14ac:dyDescent="0.35">
      <c r="A37" s="83" t="s">
        <v>137</v>
      </c>
      <c r="B37" s="82" t="s">
        <v>195</v>
      </c>
      <c r="C37" s="78" t="s">
        <v>194</v>
      </c>
      <c r="D37" s="77" t="s">
        <v>179</v>
      </c>
      <c r="E37" s="76" t="s">
        <v>194</v>
      </c>
      <c r="F37" s="77" t="s">
        <v>194</v>
      </c>
      <c r="G37" s="76" t="s">
        <v>226</v>
      </c>
      <c r="H37" s="76"/>
      <c r="I37" s="77" t="s">
        <v>34</v>
      </c>
      <c r="J37" s="79" t="s">
        <v>225</v>
      </c>
      <c r="K37" s="77" t="s">
        <v>224</v>
      </c>
      <c r="L37" s="76" t="s">
        <v>174</v>
      </c>
      <c r="M37" s="78" t="s">
        <v>219</v>
      </c>
      <c r="N37" s="77" t="s">
        <v>170</v>
      </c>
      <c r="O37" s="76" t="s">
        <v>172</v>
      </c>
    </row>
    <row r="38" spans="1:15" ht="28.5" x14ac:dyDescent="0.35">
      <c r="A38" s="83" t="s">
        <v>140</v>
      </c>
      <c r="B38" s="88" t="s">
        <v>183</v>
      </c>
      <c r="C38" s="78" t="s">
        <v>223</v>
      </c>
      <c r="D38" s="77" t="s">
        <v>181</v>
      </c>
      <c r="E38" s="76" t="s">
        <v>222</v>
      </c>
      <c r="F38" s="77" t="s">
        <v>181</v>
      </c>
      <c r="G38" s="76" t="s">
        <v>221</v>
      </c>
      <c r="H38" s="76"/>
      <c r="I38" s="77" t="s">
        <v>34</v>
      </c>
      <c r="J38" s="79" t="s">
        <v>220</v>
      </c>
      <c r="K38" s="77" t="s">
        <v>181</v>
      </c>
      <c r="L38" s="76" t="s">
        <v>174</v>
      </c>
      <c r="M38" s="78" t="s">
        <v>219</v>
      </c>
      <c r="N38" s="77" t="s">
        <v>170</v>
      </c>
      <c r="O38" s="76" t="s">
        <v>172</v>
      </c>
    </row>
    <row r="39" spans="1:15" ht="28.5" x14ac:dyDescent="0.35">
      <c r="A39" s="83" t="s">
        <v>143</v>
      </c>
      <c r="B39" s="87" t="s">
        <v>183</v>
      </c>
      <c r="C39" s="78" t="s">
        <v>218</v>
      </c>
      <c r="D39" s="77" t="s">
        <v>181</v>
      </c>
      <c r="E39" s="76" t="s">
        <v>217</v>
      </c>
      <c r="F39" s="77" t="s">
        <v>179</v>
      </c>
      <c r="G39" s="76" t="s">
        <v>216</v>
      </c>
      <c r="H39" s="76"/>
      <c r="I39" s="77" t="s">
        <v>34</v>
      </c>
      <c r="J39" s="79" t="s">
        <v>215</v>
      </c>
      <c r="K39" s="77" t="s">
        <v>181</v>
      </c>
      <c r="L39" s="76" t="s">
        <v>174</v>
      </c>
      <c r="M39" s="78" t="s">
        <v>214</v>
      </c>
      <c r="N39" s="77" t="s">
        <v>170</v>
      </c>
      <c r="O39" s="76" t="s">
        <v>184</v>
      </c>
    </row>
    <row r="40" spans="1:15" ht="56.5" x14ac:dyDescent="0.35">
      <c r="A40" s="83" t="s">
        <v>213</v>
      </c>
      <c r="B40" s="84" t="s">
        <v>195</v>
      </c>
      <c r="C40" s="78" t="s">
        <v>194</v>
      </c>
      <c r="D40" s="77" t="s">
        <v>179</v>
      </c>
      <c r="E40" s="76" t="s">
        <v>194</v>
      </c>
      <c r="F40" s="77" t="s">
        <v>194</v>
      </c>
      <c r="G40" s="76" t="s">
        <v>193</v>
      </c>
      <c r="H40" s="76" t="s">
        <v>212</v>
      </c>
      <c r="I40" s="86" t="s">
        <v>34</v>
      </c>
      <c r="J40" s="79" t="s">
        <v>211</v>
      </c>
      <c r="K40" s="77" t="s">
        <v>181</v>
      </c>
      <c r="L40" s="76" t="s">
        <v>174</v>
      </c>
      <c r="M40" s="78" t="s">
        <v>210</v>
      </c>
      <c r="N40" s="77" t="s">
        <v>209</v>
      </c>
      <c r="O40" s="76" t="s">
        <v>208</v>
      </c>
    </row>
    <row r="41" spans="1:15" ht="98" x14ac:dyDescent="0.35">
      <c r="A41" s="83" t="s">
        <v>148</v>
      </c>
      <c r="B41" s="85" t="s">
        <v>183</v>
      </c>
      <c r="C41" s="78" t="s">
        <v>207</v>
      </c>
      <c r="D41" s="77" t="s">
        <v>181</v>
      </c>
      <c r="E41" s="76" t="s">
        <v>206</v>
      </c>
      <c r="F41" s="77" t="s">
        <v>179</v>
      </c>
      <c r="G41" s="76" t="s">
        <v>205</v>
      </c>
      <c r="H41" s="76" t="s">
        <v>204</v>
      </c>
      <c r="I41" s="77" t="s">
        <v>34</v>
      </c>
      <c r="J41" s="79" t="s">
        <v>203</v>
      </c>
      <c r="K41" s="77" t="s">
        <v>202</v>
      </c>
      <c r="L41" s="76" t="s">
        <v>174</v>
      </c>
      <c r="M41" s="78" t="s">
        <v>201</v>
      </c>
      <c r="N41" s="77" t="s">
        <v>170</v>
      </c>
      <c r="O41" s="76" t="s">
        <v>184</v>
      </c>
    </row>
    <row r="42" spans="1:15" ht="28.5" x14ac:dyDescent="0.35">
      <c r="A42" s="83" t="s">
        <v>151</v>
      </c>
      <c r="B42" s="84" t="s">
        <v>183</v>
      </c>
      <c r="C42" s="78" t="s">
        <v>200</v>
      </c>
      <c r="D42" s="77" t="s">
        <v>181</v>
      </c>
      <c r="E42" s="76" t="s">
        <v>199</v>
      </c>
      <c r="F42" s="77" t="s">
        <v>179</v>
      </c>
      <c r="G42" s="76" t="s">
        <v>198</v>
      </c>
      <c r="H42" s="76"/>
      <c r="I42" s="77" t="s">
        <v>33</v>
      </c>
      <c r="J42" s="79" t="s">
        <v>197</v>
      </c>
      <c r="K42" s="77" t="s">
        <v>181</v>
      </c>
      <c r="L42" s="76" t="s">
        <v>174</v>
      </c>
      <c r="M42" s="78" t="s">
        <v>196</v>
      </c>
      <c r="N42" s="77" t="s">
        <v>170</v>
      </c>
      <c r="O42" s="76" t="s">
        <v>184</v>
      </c>
    </row>
    <row r="43" spans="1:15" ht="28.5" x14ac:dyDescent="0.35">
      <c r="A43" s="83" t="s">
        <v>154</v>
      </c>
      <c r="B43" s="84" t="s">
        <v>195</v>
      </c>
      <c r="C43" s="78" t="s">
        <v>194</v>
      </c>
      <c r="D43" s="77" t="s">
        <v>179</v>
      </c>
      <c r="E43" s="76" t="s">
        <v>194</v>
      </c>
      <c r="F43" s="77" t="s">
        <v>194</v>
      </c>
      <c r="G43" s="76" t="s">
        <v>193</v>
      </c>
      <c r="H43" s="76"/>
      <c r="I43" s="77" t="s">
        <v>33</v>
      </c>
      <c r="J43" s="79" t="s">
        <v>192</v>
      </c>
      <c r="K43" s="77" t="s">
        <v>181</v>
      </c>
      <c r="L43" s="76" t="s">
        <v>174</v>
      </c>
      <c r="M43" s="78" t="s">
        <v>191</v>
      </c>
      <c r="N43" s="77" t="s">
        <v>170</v>
      </c>
      <c r="O43" s="76" t="s">
        <v>184</v>
      </c>
    </row>
    <row r="44" spans="1:15" ht="28.5" x14ac:dyDescent="0.35">
      <c r="A44" s="83" t="s">
        <v>157</v>
      </c>
      <c r="B44" s="82" t="s">
        <v>183</v>
      </c>
      <c r="C44" s="78" t="s">
        <v>190</v>
      </c>
      <c r="D44" s="77" t="s">
        <v>181</v>
      </c>
      <c r="E44" s="76" t="s">
        <v>189</v>
      </c>
      <c r="F44" s="77" t="s">
        <v>179</v>
      </c>
      <c r="G44" s="76" t="s">
        <v>188</v>
      </c>
      <c r="H44" s="76"/>
      <c r="I44" s="77" t="s">
        <v>187</v>
      </c>
      <c r="J44" s="79" t="s">
        <v>186</v>
      </c>
      <c r="K44" s="77" t="s">
        <v>181</v>
      </c>
      <c r="L44" s="76" t="s">
        <v>174</v>
      </c>
      <c r="M44" s="78" t="s">
        <v>185</v>
      </c>
      <c r="N44" s="77" t="s">
        <v>170</v>
      </c>
      <c r="O44" s="76" t="s">
        <v>184</v>
      </c>
    </row>
    <row r="45" spans="1:15" ht="51" customHeight="1" thickBot="1" x14ac:dyDescent="0.4">
      <c r="A45" s="81" t="s">
        <v>160</v>
      </c>
      <c r="B45" s="80" t="s">
        <v>183</v>
      </c>
      <c r="C45" s="78" t="s">
        <v>182</v>
      </c>
      <c r="D45" s="77" t="s">
        <v>181</v>
      </c>
      <c r="E45" s="76" t="s">
        <v>180</v>
      </c>
      <c r="F45" s="77" t="s">
        <v>179</v>
      </c>
      <c r="G45" s="76" t="s">
        <v>178</v>
      </c>
      <c r="H45" s="76" t="s">
        <v>177</v>
      </c>
      <c r="I45" s="77" t="s">
        <v>34</v>
      </c>
      <c r="J45" s="79" t="s">
        <v>176</v>
      </c>
      <c r="K45" s="77" t="s">
        <v>175</v>
      </c>
      <c r="L45" s="78" t="s">
        <v>174</v>
      </c>
      <c r="M45" s="78" t="s">
        <v>173</v>
      </c>
      <c r="N45" s="77" t="s">
        <v>170</v>
      </c>
      <c r="O45" s="76" t="s">
        <v>172</v>
      </c>
    </row>
    <row r="46" spans="1:15" ht="26.5" thickTop="1" x14ac:dyDescent="0.35">
      <c r="A46" s="75" t="s">
        <v>169</v>
      </c>
      <c r="B46" s="74" t="s">
        <v>171</v>
      </c>
      <c r="C46" s="71" t="s">
        <v>169</v>
      </c>
      <c r="D46" s="70" t="s">
        <v>169</v>
      </c>
      <c r="E46" s="72" t="s">
        <v>169</v>
      </c>
      <c r="F46" s="70" t="s">
        <v>169</v>
      </c>
      <c r="G46" s="72" t="s">
        <v>169</v>
      </c>
      <c r="H46" s="72" t="s">
        <v>169</v>
      </c>
      <c r="I46" s="70" t="s">
        <v>169</v>
      </c>
      <c r="J46" s="73" t="s">
        <v>169</v>
      </c>
      <c r="K46" s="70" t="s">
        <v>169</v>
      </c>
      <c r="L46" s="72" t="s">
        <v>169</v>
      </c>
      <c r="M46" s="71" t="s">
        <v>169</v>
      </c>
      <c r="N46" s="70" t="s">
        <v>170</v>
      </c>
      <c r="O46" s="69" t="s">
        <v>169</v>
      </c>
    </row>
    <row r="48" spans="1:15" x14ac:dyDescent="0.35">
      <c r="A48" s="108" t="s">
        <v>383</v>
      </c>
      <c r="B48" s="108"/>
      <c r="C48" s="108"/>
      <c r="D48" s="108"/>
    </row>
  </sheetData>
  <mergeCells count="2">
    <mergeCell ref="A1:O1"/>
    <mergeCell ref="A48:D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7459C301B74440B9557A7A63449F21" ma:contentTypeVersion="11" ma:contentTypeDescription="Create a new document." ma:contentTypeScope="" ma:versionID="c864974637981c775c9a2a12b7e41993">
  <xsd:schema xmlns:xsd="http://www.w3.org/2001/XMLSchema" xmlns:xs="http://www.w3.org/2001/XMLSchema" xmlns:p="http://schemas.microsoft.com/office/2006/metadata/properties" xmlns:ns2="8cc9d743-df63-4493-99fd-46971c2d0666" xmlns:ns3="eb5cce9b-a07b-4c2d-a0f2-d1376cf23159" targetNamespace="http://schemas.microsoft.com/office/2006/metadata/properties" ma:root="true" ma:fieldsID="3c6f5106d2bb8be548faf1f483df2f08" ns2:_="" ns3:_="">
    <xsd:import namespace="8cc9d743-df63-4493-99fd-46971c2d0666"/>
    <xsd:import namespace="eb5cce9b-a07b-4c2d-a0f2-d1376cf231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9d743-df63-4493-99fd-46971c2d06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4e8d0f-ef0c-49ef-9e91-310cc2cc03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cce9b-a07b-4c2d-a0f2-d1376cf231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7ce19b-a18f-415c-8408-fcee27c8f08a}" ma:internalName="TaxCatchAll" ma:showField="CatchAllData" ma:web="eb5cce9b-a07b-4c2d-a0f2-d1376cf231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5cce9b-a07b-4c2d-a0f2-d1376cf23159" xsi:nil="true"/>
    <lcf76f155ced4ddcb4097134ff3c332f xmlns="8cc9d743-df63-4493-99fd-46971c2d066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B03D53-756D-4117-BEAB-3A866FBD1F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c9d743-df63-4493-99fd-46971c2d0666"/>
    <ds:schemaRef ds:uri="eb5cce9b-a07b-4c2d-a0f2-d1376cf231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0F5557-79DA-4B82-BBB3-A74B83CF8C13}">
  <ds:schemaRefs>
    <ds:schemaRef ds:uri="http://schemas.microsoft.com/office/2006/metadata/properties"/>
    <ds:schemaRef ds:uri="http://schemas.microsoft.com/office/infopath/2007/PartnerControls"/>
    <ds:schemaRef ds:uri="eb5cce9b-a07b-4c2d-a0f2-d1376cf23159"/>
    <ds:schemaRef ds:uri="8cc9d743-df63-4493-99fd-46971c2d0666"/>
  </ds:schemaRefs>
</ds:datastoreItem>
</file>

<file path=customXml/itemProps3.xml><?xml version="1.0" encoding="utf-8"?>
<ds:datastoreItem xmlns:ds="http://schemas.openxmlformats.org/officeDocument/2006/customXml" ds:itemID="{22A9F8D0-EFDB-4EBE-A8C0-679A02FC4B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LCB</vt:lpstr>
      <vt:lpstr>SH</vt:lpstr>
    </vt:vector>
  </TitlesOfParts>
  <Manager/>
  <Company>Government of Manitoba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Rahman, Ananna</dc:creator>
  <cp:keywords/>
  <dc:description/>
  <cp:lastModifiedBy>Rahman, Ananna</cp:lastModifiedBy>
  <cp:revision/>
  <dcterms:created xsi:type="dcterms:W3CDTF">2025-11-19T00:34:02Z</dcterms:created>
  <dcterms:modified xsi:type="dcterms:W3CDTF">2026-04-27T19:40:59Z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0x010100B77459C301B74440B9557A7A63449F21</vt:lpwstr>
  </property>
  <property fmtid="{D5CDD505-2E9C-101B-9397-08002B2CF9AE}" pid="3" name="MediaServiceImageTags">
    <vt:lpwstr/>
  </property>
</Properties>
</file>