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21\LC\PCH Unit\[NEW] Information and Tracking\Bed Maps and PCH Information\2025\Feedback From Regions\NRHA Feedback\Combined\"/>
    </mc:Choice>
  </mc:AlternateContent>
  <xr:revisionPtr revIDLastSave="0" documentId="13_ncr:1_{C18EFB14-D427-4693-B020-AF93FA65DB01}" xr6:coauthVersionLast="47" xr6:coauthVersionMax="47" xr10:uidLastSave="{00000000-0000-0000-0000-000000000000}"/>
  <bookViews>
    <workbookView xWindow="-110" yWindow="-110" windowWidth="19420" windowHeight="12300" tabRatio="367" xr2:uid="{C20E4F64-A442-484B-9DDD-0776CE7E3D87}"/>
  </bookViews>
  <sheets>
    <sheet name="LCB" sheetId="3" r:id="rId1"/>
    <sheet name="B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3" l="1"/>
  <c r="R5" i="3" s="1"/>
  <c r="U6" i="3"/>
  <c r="R6" i="3" s="1"/>
  <c r="U7" i="3"/>
  <c r="R7" i="3" s="1"/>
  <c r="U8" i="3"/>
  <c r="R8" i="3" s="1"/>
  <c r="U9" i="3"/>
  <c r="R9" i="3" s="1"/>
  <c r="U4" i="3"/>
  <c r="R4" i="3" s="1"/>
  <c r="M10" i="3" l="1"/>
  <c r="L10" i="3"/>
  <c r="U10" i="3" l="1"/>
</calcChain>
</file>

<file path=xl/sharedStrings.xml><?xml version="1.0" encoding="utf-8"?>
<sst xmlns="http://schemas.openxmlformats.org/spreadsheetml/2006/main" count="184" uniqueCount="109">
  <si>
    <t>Total Licensed Beds</t>
  </si>
  <si>
    <t>Multi-Bedded PCH Rooms</t>
  </si>
  <si>
    <t># of 2 Bed Rooms</t>
  </si>
  <si>
    <t>Facility Address</t>
  </si>
  <si>
    <t>Respite PCH Beds</t>
  </si>
  <si>
    <t>Specialized Personal Care Environment Bed Types</t>
  </si>
  <si>
    <t>General PCH Beds</t>
  </si>
  <si>
    <t>Mailing Address</t>
  </si>
  <si>
    <t>Civic Address</t>
  </si>
  <si>
    <t xml:space="preserve"># of 3 or more Bed Rooms  </t>
  </si>
  <si>
    <t>Licence Status</t>
  </si>
  <si>
    <t>Operator</t>
  </si>
  <si>
    <t>Resident Bedroom Capacity by Bed Type</t>
  </si>
  <si>
    <t>Single Bed PCH Rooms</t>
  </si>
  <si>
    <t># of 1 Bed rooms</t>
  </si>
  <si>
    <t>Transitional Beds</t>
  </si>
  <si>
    <t>Designated Bilingual (Y/N)</t>
  </si>
  <si>
    <t>Francophone (Y/N)</t>
  </si>
  <si>
    <t>Veterans' Priority Beds</t>
  </si>
  <si>
    <t>Alternate Care Environment (ACE) Beds</t>
  </si>
  <si>
    <t>Behavioural Support &amp; Care Environment (BSCE) Beds</t>
  </si>
  <si>
    <t>Behavioural Treatment Unit (BTU) Beds</t>
  </si>
  <si>
    <t>Comments</t>
  </si>
  <si>
    <t>PCH Name</t>
  </si>
  <si>
    <t>Northern Lights Manor</t>
  </si>
  <si>
    <t>Northern Spirit Manor</t>
  </si>
  <si>
    <t xml:space="preserve">St. Paul's Residence </t>
  </si>
  <si>
    <t>Box 340, Flin Flon, R8A 1N2</t>
  </si>
  <si>
    <t>Box 460, Nelson House, R0B 1A0</t>
  </si>
  <si>
    <t>274 Bracken Street, Flin Flon, R8A 1P4</t>
  </si>
  <si>
    <t>879 Thompson Drive South, Thompson, R8N 0A9</t>
  </si>
  <si>
    <t>Box 98, Norway House, R0B 1B0</t>
  </si>
  <si>
    <t>Box 240, The Pas, R9A 1K4</t>
  </si>
  <si>
    <t>50 Church Street, Flin Flon</t>
  </si>
  <si>
    <t>2 Otetiskiwin Drive, Nelson House</t>
  </si>
  <si>
    <t>274 Bracken Street, Flin Flon</t>
  </si>
  <si>
    <t>879 Thompson Drive South, Thompson</t>
  </si>
  <si>
    <t>Building 305 Rossville, Norway House</t>
  </si>
  <si>
    <t>34 - 2nd Street, The Pas</t>
  </si>
  <si>
    <t>N</t>
  </si>
  <si>
    <t>culture based</t>
  </si>
  <si>
    <t>Unencumbered Licence</t>
  </si>
  <si>
    <t>Northern Regional Health Authority</t>
  </si>
  <si>
    <t>Nisichawayasihk Personal Care Home</t>
  </si>
  <si>
    <t>Pinaow Wachi Personal Care Home</t>
  </si>
  <si>
    <t>6 PCHs</t>
  </si>
  <si>
    <t>Not-For-Profit</t>
  </si>
  <si>
    <r>
      <t xml:space="preserve">For-Profit
</t>
    </r>
    <r>
      <rPr>
        <b/>
        <u/>
        <sz val="11"/>
        <color theme="1"/>
        <rFont val="Arial"/>
        <family val="2"/>
      </rPr>
      <t>(Y/N)</t>
    </r>
  </si>
  <si>
    <t>Regional Owned and Operated PCHs</t>
  </si>
  <si>
    <t>Board Owned and Operated PCHs</t>
  </si>
  <si>
    <t>Y</t>
  </si>
  <si>
    <t xml:space="preserve">For-Profit </t>
  </si>
  <si>
    <t>Faith-based (FB); Culture-based (CB)</t>
  </si>
  <si>
    <t>-</t>
  </si>
  <si>
    <t>Flin Flon Personal Care Home</t>
  </si>
  <si>
    <t>2 J
4 NJ</t>
  </si>
  <si>
    <t>Karley Hanson, Nurse Manager</t>
  </si>
  <si>
    <t>204-623-9226</t>
  </si>
  <si>
    <t>No</t>
  </si>
  <si>
    <t>Tied to St. Anthony's Gen-Set.  Supplies Life Safety Equipment.</t>
  </si>
  <si>
    <t>275 kW</t>
  </si>
  <si>
    <t>Yes</t>
  </si>
  <si>
    <t>St. Anthony's Hospital</t>
  </si>
  <si>
    <t>J</t>
  </si>
  <si>
    <t>Kristine Schulz, Administrator</t>
  </si>
  <si>
    <t>Starlink</t>
  </si>
  <si>
    <t>204-359-6838</t>
  </si>
  <si>
    <t>Outside. Powerd by gas would support each area. Emergency light has 1 hour of power after an outage.</t>
  </si>
  <si>
    <t>4 portables and a quote for larger backup 7000 watts Honda generator</t>
  </si>
  <si>
    <t>N/A</t>
  </si>
  <si>
    <t>NJ</t>
  </si>
  <si>
    <t>Pinaow Wachi personal care home</t>
  </si>
  <si>
    <t>Kristyn Wickdahl, Manager</t>
  </si>
  <si>
    <t xml:space="preserve">VOIP phones </t>
  </si>
  <si>
    <t>204-778-3508</t>
  </si>
  <si>
    <t>Propane boiler provides perimeter hot water heat. Electrical outlets in resident rooms could supply temp plug in electric heaters in an emergency.</t>
  </si>
  <si>
    <t>All non-life safety systems do not receive gen power. Kitchen equiment, excluding fridge and freezer. Laundry equipment, bed pan washers, tubs, and all non-essential offices have no gen power.</t>
  </si>
  <si>
    <t xml:space="preserve">350 KW shared and located at hospital </t>
  </si>
  <si>
    <t>Thompson General Hospital</t>
  </si>
  <si>
    <t>Karley Hanson, Interim Nurse Manager</t>
  </si>
  <si>
    <t>204 687 7325</t>
  </si>
  <si>
    <t>Yes, electric baseboards</t>
  </si>
  <si>
    <t>Newly installed unit, does entire facility</t>
  </si>
  <si>
    <t>200 KW</t>
  </si>
  <si>
    <t xml:space="preserve">Jessie Horodecki, Executive Director </t>
  </si>
  <si>
    <t>204-484-2350</t>
  </si>
  <si>
    <t>Kristyn Wickdahl, Interim Nurse Manager</t>
  </si>
  <si>
    <t>204 687 9630</t>
  </si>
  <si>
    <t>No.  PCH would require next phase of Electrical distribution Project to tie in their 347V Electric Heating Rads, as well as the  AHU’s to the FFGH existing Emergency Power grid.</t>
  </si>
  <si>
    <t>Outside, but basically only supplies some lights. A further Upgrading of the Emergency Power distribution would need MB Health Approval of the next phase of Emergency Power Upgrades.</t>
  </si>
  <si>
    <t>Gen-Set 1,000 kW shared with hospital</t>
  </si>
  <si>
    <t>Flin Flon General Hospital</t>
  </si>
  <si>
    <t>Flin Flon personal care home</t>
  </si>
  <si>
    <t>Please provide any additional information that is crucial to the site. (Optional)</t>
  </si>
  <si>
    <t>How many floors does the facility have (excluding basements, if applicable)?</t>
  </si>
  <si>
    <t>Name and position of main contact: (ex. A leadership- or an executive-level contact information)</t>
  </si>
  <si>
    <t>Does the site have backup for communication? ex: satellite phones, starlink, 2-way radios, VIOCI/Sysco phones, etc.</t>
  </si>
  <si>
    <t>Is the main phone line answered 24/7?
(Y/N)</t>
  </si>
  <si>
    <t>Main phone line contact number:</t>
  </si>
  <si>
    <t>In the event of a fire, does the site have an operational fire sprinkler system? 
(Y/N)</t>
  </si>
  <si>
    <t>Does the site have alternate heating options? Is yes, please include method/technology/means. (Optional)</t>
  </si>
  <si>
    <t>Please provide additional backup generator information (ex. any location within the site not receiving power etc.).: (Optional)</t>
  </si>
  <si>
    <t>Does backup generator support the full site?</t>
  </si>
  <si>
    <t>Backup generator capacity in megawatts (MW) or kilowatts: (Optional)</t>
  </si>
  <si>
    <t>Does the site have backup generator power? 
(Y/N)</t>
  </si>
  <si>
    <t>Name of the juxtaposed facility:
(Please answer only if the site is juxtaposed to another facility)</t>
  </si>
  <si>
    <t>Is the site juxtaposed to another facility?</t>
  </si>
  <si>
    <t>PCH  Name</t>
  </si>
  <si>
    <t>This document reflects the most recent updates as of February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</si>
</sst>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b/>
      <u/>
      <sz val="12"/>
      <color theme="0" tint="-4.9989318521683403E-2"/>
      <name val="Arial"/>
      <family val="2"/>
    </font>
    <font>
      <sz val="11"/>
      <color theme="0" tint="-4.9989318521683403E-2"/>
      <name val="Aptos Narrow"/>
      <family val="2"/>
      <scheme val="minor"/>
    </font>
    <font>
      <b/>
      <sz val="14"/>
      <color theme="1"/>
      <name val="Arial"/>
      <family val="2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u/>
      <sz val="12"/>
      <color rgb="FF002060"/>
      <name val="Arial"/>
      <family val="2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2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b/>
      <sz val="11"/>
      <color theme="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2" tint="-0.24997711111789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0" tint="-0.249977111117893"/>
        <bgColor indexed="65"/>
      </patternFill>
    </fill>
    <fill>
      <patternFill patternType="solid">
        <fgColor rgb="FFBCD7F2"/>
      </patternFill>
    </fill>
    <fill>
      <patternFill patternType="solid">
        <fgColor rgb="FF85B6E7"/>
      </patternFill>
    </fill>
    <fill>
      <patternFill patternType="solid">
        <fgColor theme="3" tint="0.49995422223578601"/>
        <bgColor indexed="65"/>
      </patternFill>
    </fill>
    <fill>
      <patternFill patternType="solid">
        <fgColor theme="3" tint="0.249977111117893"/>
        <bgColor indexed="65"/>
      </patternFill>
    </fill>
    <fill>
      <patternFill patternType="solid">
        <fgColor theme="3" tint="9.9978637043366805E-2"/>
        <bgColor indexed="65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0.49995422223578601"/>
        <bgColor indexed="65"/>
      </patternFill>
    </fill>
    <fill>
      <patternFill patternType="solid">
        <fgColor rgb="FFB3FFEB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0D4E2"/>
        <bgColor indexed="64"/>
      </patternFill>
    </fill>
    <fill>
      <patternFill patternType="solid">
        <fgColor theme="6" tint="0.79995117038483843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10" fillId="0" borderId="0"/>
  </cellStyleXfs>
  <cellXfs count="64">
    <xf numFmtId="0" fontId="0" fillId="0" borderId="0" xfId="0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0" fillId="0" borderId="2" xfId="0" applyBorder="1"/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8" fillId="1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11" fillId="0" borderId="0" xfId="0" applyFont="1"/>
    <xf numFmtId="0" fontId="11" fillId="0" borderId="7" xfId="0" applyFont="1" applyBorder="1"/>
    <xf numFmtId="0" fontId="7" fillId="16" borderId="9" xfId="0" applyFont="1" applyFill="1" applyBorder="1" applyAlignment="1">
      <alignment horizontal="center" vertical="center"/>
    </xf>
    <xf numFmtId="0" fontId="0" fillId="16" borderId="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17" borderId="6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14" fillId="15" borderId="10" xfId="2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16" borderId="9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0" fillId="16" borderId="11" xfId="0" applyFill="1" applyBorder="1" applyAlignment="1">
      <alignment wrapText="1"/>
    </xf>
    <xf numFmtId="0" fontId="0" fillId="16" borderId="1" xfId="0" applyFill="1" applyBorder="1" applyAlignment="1">
      <alignment wrapText="1"/>
    </xf>
    <xf numFmtId="0" fontId="0" fillId="16" borderId="1" xfId="0" applyFill="1" applyBorder="1" applyAlignment="1">
      <alignment horizontal="center" wrapText="1"/>
    </xf>
    <xf numFmtId="0" fontId="0" fillId="16" borderId="12" xfId="0" applyFill="1" applyBorder="1" applyAlignment="1">
      <alignment wrapText="1"/>
    </xf>
    <xf numFmtId="0" fontId="7" fillId="16" borderId="13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left" vertical="center"/>
    </xf>
    <xf numFmtId="0" fontId="7" fillId="0" borderId="7" xfId="0" applyFont="1" applyBorder="1" applyAlignment="1">
      <alignment vertical="center" wrapText="1"/>
    </xf>
    <xf numFmtId="0" fontId="7" fillId="0" borderId="7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7" fillId="18" borderId="14" xfId="0" applyFont="1" applyFill="1" applyBorder="1" applyAlignment="1">
      <alignment horizontal="center" vertical="center" wrapText="1"/>
    </xf>
    <xf numFmtId="0" fontId="0" fillId="18" borderId="14" xfId="0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0" fontId="0" fillId="0" borderId="0" xfId="0"/>
    <xf numFmtId="0" fontId="6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/>
    <xf numFmtId="0" fontId="5" fillId="2" borderId="1" xfId="0" applyFont="1" applyFill="1" applyBorder="1" applyAlignment="1">
      <alignment horizontal="center" vertical="center" wrapText="1"/>
    </xf>
    <xf numFmtId="0" fontId="5" fillId="17" borderId="6" xfId="0" applyFont="1" applyFill="1" applyBorder="1" applyAlignment="1">
      <alignment horizontal="center" vertical="center"/>
    </xf>
    <xf numFmtId="0" fontId="16" fillId="0" borderId="0" xfId="0" applyFont="1" applyAlignment="1">
      <alignment horizontal="left"/>
    </xf>
  </cellXfs>
  <cellStyles count="3">
    <cellStyle name="Comma 2" xfId="1" xr:uid="{18210A50-FEDF-4D2E-9819-3D7C302A86F9}"/>
    <cellStyle name="Normal" xfId="0" builtinId="0"/>
    <cellStyle name="Normal_Sheet1" xfId="2" xr:uid="{0B1612CD-AD7B-4CBC-BFBD-E1F9E88D8286}"/>
  </cellStyles>
  <dxfs count="0"/>
  <tableStyles count="0" defaultTableStyle="TableStyleMedium2" defaultPivotStyle="PivotStyleLight16"/>
  <colors>
    <mruColors>
      <color rgb="FFB3FFEB"/>
      <color rgb="FFBCD7F2"/>
      <color rgb="FFFEF5D2"/>
      <color rgb="FFFFB7B7"/>
      <color rgb="FF1B4D7F"/>
      <color rgb="FF2E82D6"/>
      <color rgb="FF85B6E7"/>
      <color rgb="FF5599DD"/>
      <color rgb="FF99C2EB"/>
      <color rgb="FF4992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04B0-AB83-A742-961B-465049092045}">
  <dimension ref="A1:W14"/>
  <sheetViews>
    <sheetView tabSelected="1" workbookViewId="0">
      <pane xSplit="1" topLeftCell="B1" activePane="topRight" state="frozen"/>
      <selection pane="topRight" activeCell="C15" sqref="C15"/>
    </sheetView>
  </sheetViews>
  <sheetFormatPr defaultColWidth="8.54296875" defaultRowHeight="14.5" x14ac:dyDescent="0.35"/>
  <cols>
    <col min="1" max="1" width="40.90625" customWidth="1"/>
    <col min="2" max="2" width="37.36328125" customWidth="1"/>
    <col min="3" max="3" width="36.54296875" customWidth="1"/>
    <col min="4" max="4" width="22.453125" customWidth="1"/>
    <col min="5" max="5" width="36.54296875" customWidth="1"/>
    <col min="6" max="7" width="17.453125" customWidth="1"/>
    <col min="8" max="8" width="20.08984375" customWidth="1"/>
    <col min="9" max="10" width="18" customWidth="1"/>
    <col min="11" max="11" width="24.54296875" customWidth="1"/>
    <col min="12" max="12" width="22.54296875" customWidth="1"/>
    <col min="13" max="13" width="19.453125" customWidth="1"/>
    <col min="14" max="14" width="24.08984375" customWidth="1"/>
    <col min="15" max="15" width="23.54296875" customWidth="1"/>
    <col min="16" max="16" width="26.54296875" customWidth="1"/>
    <col min="17" max="17" width="35.453125" customWidth="1"/>
    <col min="18" max="18" width="20.453125" customWidth="1"/>
    <col min="19" max="19" width="16.453125" customWidth="1"/>
    <col min="20" max="20" width="20.453125" customWidth="1"/>
    <col min="21" max="21" width="24" customWidth="1"/>
    <col min="22" max="22" width="26.08984375" customWidth="1"/>
    <col min="23" max="23" width="34.453125" customWidth="1"/>
  </cols>
  <sheetData>
    <row r="1" spans="1:23" ht="50.4" customHeight="1" x14ac:dyDescent="0.35">
      <c r="R1" s="56" t="s">
        <v>12</v>
      </c>
      <c r="S1" s="57"/>
      <c r="T1" s="57"/>
    </row>
    <row r="2" spans="1:23" ht="36" x14ac:dyDescent="0.35">
      <c r="B2" s="58" t="s">
        <v>3</v>
      </c>
      <c r="C2" s="57"/>
      <c r="H2" s="30" t="s">
        <v>51</v>
      </c>
      <c r="I2" s="62" t="s">
        <v>46</v>
      </c>
      <c r="J2" s="62"/>
      <c r="O2" s="59" t="s">
        <v>5</v>
      </c>
      <c r="P2" s="60"/>
      <c r="Q2" s="60"/>
      <c r="R2" s="5" t="s">
        <v>13</v>
      </c>
      <c r="S2" s="61" t="s">
        <v>1</v>
      </c>
      <c r="T2" s="60"/>
      <c r="U2" s="4"/>
    </row>
    <row r="3" spans="1:23" s="1" customFormat="1" ht="46.5" x14ac:dyDescent="0.35">
      <c r="A3" s="6" t="s">
        <v>23</v>
      </c>
      <c r="B3" s="7" t="s">
        <v>7</v>
      </c>
      <c r="C3" s="7" t="s">
        <v>8</v>
      </c>
      <c r="D3" s="8" t="s">
        <v>10</v>
      </c>
      <c r="E3" s="8" t="s">
        <v>11</v>
      </c>
      <c r="F3" s="9" t="s">
        <v>16</v>
      </c>
      <c r="G3" s="9" t="s">
        <v>17</v>
      </c>
      <c r="H3" s="31" t="s">
        <v>47</v>
      </c>
      <c r="I3" s="32" t="s">
        <v>48</v>
      </c>
      <c r="J3" s="32" t="s">
        <v>49</v>
      </c>
      <c r="K3" s="35" t="s">
        <v>52</v>
      </c>
      <c r="L3" s="10" t="s">
        <v>6</v>
      </c>
      <c r="M3" s="11" t="s">
        <v>4</v>
      </c>
      <c r="N3" s="12" t="s">
        <v>18</v>
      </c>
      <c r="O3" s="13" t="s">
        <v>19</v>
      </c>
      <c r="P3" s="13" t="s">
        <v>20</v>
      </c>
      <c r="Q3" s="13" t="s">
        <v>21</v>
      </c>
      <c r="R3" s="14" t="s">
        <v>14</v>
      </c>
      <c r="S3" s="15" t="s">
        <v>2</v>
      </c>
      <c r="T3" s="16" t="s">
        <v>9</v>
      </c>
      <c r="U3" s="17" t="s">
        <v>0</v>
      </c>
      <c r="V3" s="18" t="s">
        <v>15</v>
      </c>
      <c r="W3" s="1" t="s">
        <v>22</v>
      </c>
    </row>
    <row r="4" spans="1:23" ht="15.5" x14ac:dyDescent="0.35">
      <c r="A4" s="25" t="s">
        <v>54</v>
      </c>
      <c r="B4" s="21" t="s">
        <v>27</v>
      </c>
      <c r="C4" s="21" t="s">
        <v>33</v>
      </c>
      <c r="D4" s="37" t="s">
        <v>41</v>
      </c>
      <c r="E4" s="36" t="s">
        <v>42</v>
      </c>
      <c r="F4" s="22" t="s">
        <v>39</v>
      </c>
      <c r="G4" s="22" t="s">
        <v>39</v>
      </c>
      <c r="H4" s="22" t="s">
        <v>39</v>
      </c>
      <c r="I4" s="33" t="s">
        <v>50</v>
      </c>
      <c r="J4" s="22" t="s">
        <v>39</v>
      </c>
      <c r="K4" s="22" t="s">
        <v>53</v>
      </c>
      <c r="L4" s="22">
        <v>29</v>
      </c>
      <c r="M4" s="22">
        <v>1</v>
      </c>
      <c r="N4" s="22">
        <v>1</v>
      </c>
      <c r="O4" s="21"/>
      <c r="P4" s="21"/>
      <c r="Q4" s="21"/>
      <c r="R4" s="22">
        <f>ABS(U4-(S4*2+T4*3))</f>
        <v>30</v>
      </c>
      <c r="S4" s="22">
        <v>0</v>
      </c>
      <c r="T4" s="22">
        <v>0</v>
      </c>
      <c r="U4" s="22">
        <f>SUM(L4:Q4) - N4</f>
        <v>30</v>
      </c>
      <c r="V4" s="19"/>
      <c r="W4" s="19"/>
    </row>
    <row r="5" spans="1:23" ht="15.5" x14ac:dyDescent="0.35">
      <c r="A5" s="25" t="s">
        <v>43</v>
      </c>
      <c r="B5" s="21" t="s">
        <v>28</v>
      </c>
      <c r="C5" s="21" t="s">
        <v>34</v>
      </c>
      <c r="D5" s="37" t="s">
        <v>41</v>
      </c>
      <c r="E5" s="36" t="s">
        <v>43</v>
      </c>
      <c r="F5" s="22" t="s">
        <v>39</v>
      </c>
      <c r="G5" s="22" t="s">
        <v>39</v>
      </c>
      <c r="H5" s="22" t="s">
        <v>39</v>
      </c>
      <c r="I5" s="22" t="s">
        <v>39</v>
      </c>
      <c r="J5" s="33" t="s">
        <v>50</v>
      </c>
      <c r="K5" s="22" t="s">
        <v>40</v>
      </c>
      <c r="L5" s="22">
        <v>24</v>
      </c>
      <c r="M5" s="22">
        <v>0</v>
      </c>
      <c r="N5" s="22">
        <v>0</v>
      </c>
      <c r="O5" s="21"/>
      <c r="P5" s="21"/>
      <c r="Q5" s="21"/>
      <c r="R5" s="22">
        <f t="shared" ref="R5:R9" si="0">ABS(U5-(S5*2+T5*3))</f>
        <v>24</v>
      </c>
      <c r="S5" s="22">
        <v>0</v>
      </c>
      <c r="T5" s="22">
        <v>0</v>
      </c>
      <c r="U5" s="22">
        <f t="shared" ref="U5:U9" si="1">SUM(L5:Q5) - N5</f>
        <v>24</v>
      </c>
      <c r="V5" s="19"/>
      <c r="W5" s="19"/>
    </row>
    <row r="6" spans="1:23" ht="15.5" x14ac:dyDescent="0.35">
      <c r="A6" s="25" t="s">
        <v>24</v>
      </c>
      <c r="B6" s="21" t="s">
        <v>29</v>
      </c>
      <c r="C6" s="21" t="s">
        <v>35</v>
      </c>
      <c r="D6" s="37" t="s">
        <v>41</v>
      </c>
      <c r="E6" s="36" t="s">
        <v>42</v>
      </c>
      <c r="F6" s="22" t="s">
        <v>39</v>
      </c>
      <c r="G6" s="22" t="s">
        <v>39</v>
      </c>
      <c r="H6" s="22" t="s">
        <v>39</v>
      </c>
      <c r="I6" s="33" t="s">
        <v>50</v>
      </c>
      <c r="J6" s="22" t="s">
        <v>39</v>
      </c>
      <c r="K6" s="22" t="s">
        <v>53</v>
      </c>
      <c r="L6" s="22">
        <v>36</v>
      </c>
      <c r="M6" s="22">
        <v>0</v>
      </c>
      <c r="N6" s="22">
        <v>0</v>
      </c>
      <c r="O6" s="21"/>
      <c r="P6" s="21"/>
      <c r="Q6" s="21"/>
      <c r="R6" s="22">
        <f t="shared" si="0"/>
        <v>36</v>
      </c>
      <c r="S6" s="22">
        <v>0</v>
      </c>
      <c r="T6" s="22">
        <v>0</v>
      </c>
      <c r="U6" s="22">
        <f t="shared" si="1"/>
        <v>36</v>
      </c>
      <c r="V6" s="19"/>
      <c r="W6" s="19"/>
    </row>
    <row r="7" spans="1:23" ht="28" x14ac:dyDescent="0.35">
      <c r="A7" s="25" t="s">
        <v>25</v>
      </c>
      <c r="B7" s="40" t="s">
        <v>30</v>
      </c>
      <c r="C7" s="21" t="s">
        <v>36</v>
      </c>
      <c r="D7" s="37" t="s">
        <v>41</v>
      </c>
      <c r="E7" s="36" t="s">
        <v>42</v>
      </c>
      <c r="F7" s="22" t="s">
        <v>39</v>
      </c>
      <c r="G7" s="22" t="s">
        <v>39</v>
      </c>
      <c r="H7" s="22" t="s">
        <v>39</v>
      </c>
      <c r="I7" s="33" t="s">
        <v>50</v>
      </c>
      <c r="J7" s="22" t="s">
        <v>39</v>
      </c>
      <c r="K7" s="22" t="s">
        <v>53</v>
      </c>
      <c r="L7" s="22">
        <v>34</v>
      </c>
      <c r="M7" s="22">
        <v>1</v>
      </c>
      <c r="N7" s="22">
        <v>1</v>
      </c>
      <c r="O7" s="21"/>
      <c r="P7" s="21"/>
      <c r="Q7" s="21"/>
      <c r="R7" s="22">
        <f t="shared" si="0"/>
        <v>35</v>
      </c>
      <c r="S7" s="22">
        <v>0</v>
      </c>
      <c r="T7" s="22">
        <v>0</v>
      </c>
      <c r="U7" s="22">
        <f t="shared" si="1"/>
        <v>35</v>
      </c>
      <c r="V7" s="19"/>
      <c r="W7" s="19"/>
    </row>
    <row r="8" spans="1:23" ht="15.5" x14ac:dyDescent="0.35">
      <c r="A8" s="25" t="s">
        <v>44</v>
      </c>
      <c r="B8" s="21" t="s">
        <v>31</v>
      </c>
      <c r="C8" s="21" t="s">
        <v>37</v>
      </c>
      <c r="D8" s="37" t="s">
        <v>41</v>
      </c>
      <c r="E8" s="36" t="s">
        <v>44</v>
      </c>
      <c r="F8" s="22" t="s">
        <v>39</v>
      </c>
      <c r="G8" s="22" t="s">
        <v>39</v>
      </c>
      <c r="H8" s="22" t="s">
        <v>39</v>
      </c>
      <c r="I8" s="22" t="s">
        <v>39</v>
      </c>
      <c r="J8" s="33" t="s">
        <v>50</v>
      </c>
      <c r="K8" s="22" t="s">
        <v>40</v>
      </c>
      <c r="L8" s="22">
        <v>25</v>
      </c>
      <c r="M8" s="22">
        <v>1</v>
      </c>
      <c r="N8" s="22">
        <v>0</v>
      </c>
      <c r="O8" s="21"/>
      <c r="P8" s="21"/>
      <c r="Q8" s="21"/>
      <c r="R8" s="22">
        <f t="shared" si="0"/>
        <v>6</v>
      </c>
      <c r="S8" s="22">
        <v>10</v>
      </c>
      <c r="T8" s="22">
        <v>0</v>
      </c>
      <c r="U8" s="22">
        <f t="shared" si="1"/>
        <v>26</v>
      </c>
      <c r="V8" s="19"/>
      <c r="W8" s="19"/>
    </row>
    <row r="9" spans="1:23" ht="16" thickBot="1" x14ac:dyDescent="0.4">
      <c r="A9" s="26" t="s">
        <v>26</v>
      </c>
      <c r="B9" s="23" t="s">
        <v>32</v>
      </c>
      <c r="C9" s="23" t="s">
        <v>38</v>
      </c>
      <c r="D9" s="38" t="s">
        <v>41</v>
      </c>
      <c r="E9" s="36" t="s">
        <v>42</v>
      </c>
      <c r="F9" s="24" t="s">
        <v>39</v>
      </c>
      <c r="G9" s="24" t="s">
        <v>39</v>
      </c>
      <c r="H9" s="22" t="s">
        <v>39</v>
      </c>
      <c r="I9" s="34" t="s">
        <v>50</v>
      </c>
      <c r="J9" s="24" t="s">
        <v>39</v>
      </c>
      <c r="K9" s="22" t="s">
        <v>53</v>
      </c>
      <c r="L9" s="24">
        <v>60</v>
      </c>
      <c r="M9" s="24">
        <v>0</v>
      </c>
      <c r="N9" s="24">
        <v>1</v>
      </c>
      <c r="O9" s="23"/>
      <c r="P9" s="23"/>
      <c r="Q9" s="23"/>
      <c r="R9" s="22">
        <f t="shared" si="0"/>
        <v>60</v>
      </c>
      <c r="S9" s="24">
        <v>0</v>
      </c>
      <c r="T9" s="24">
        <v>0</v>
      </c>
      <c r="U9" s="24">
        <f t="shared" si="1"/>
        <v>60</v>
      </c>
      <c r="V9" s="20"/>
      <c r="W9" s="20"/>
    </row>
    <row r="10" spans="1:23" s="29" customFormat="1" ht="15" thickTop="1" x14ac:dyDescent="0.35">
      <c r="A10" s="39" t="s">
        <v>45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>
        <f>SUM(L4:L9)</f>
        <v>208</v>
      </c>
      <c r="M10" s="27">
        <f>SUM(M4:M9)</f>
        <v>3</v>
      </c>
      <c r="N10" s="27">
        <v>3</v>
      </c>
      <c r="O10" s="27"/>
      <c r="P10" s="27"/>
      <c r="Q10" s="27"/>
      <c r="R10" s="27"/>
      <c r="S10" s="27">
        <v>10</v>
      </c>
      <c r="T10" s="27"/>
      <c r="U10" s="27">
        <f>SUM(U4:U9)</f>
        <v>211</v>
      </c>
      <c r="V10" s="28"/>
      <c r="W10" s="28"/>
    </row>
    <row r="11" spans="1:23" x14ac:dyDescent="0.35">
      <c r="U11" s="19"/>
    </row>
    <row r="12" spans="1:23" x14ac:dyDescent="0.35">
      <c r="A12" s="63" t="s">
        <v>108</v>
      </c>
      <c r="B12" s="63"/>
      <c r="U12" s="19"/>
    </row>
    <row r="13" spans="1:23" x14ac:dyDescent="0.35">
      <c r="H13" s="2"/>
    </row>
    <row r="14" spans="1:23" x14ac:dyDescent="0.35">
      <c r="N14" s="3"/>
    </row>
  </sheetData>
  <mergeCells count="6">
    <mergeCell ref="A12:B12"/>
    <mergeCell ref="R1:T1"/>
    <mergeCell ref="B2:C2"/>
    <mergeCell ref="O2:Q2"/>
    <mergeCell ref="S2:T2"/>
    <mergeCell ref="I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03F7C-FAD3-4777-AC7D-4CCB9A439D0E}">
  <dimension ref="A1:O8"/>
  <sheetViews>
    <sheetView topLeftCell="A2" workbookViewId="0">
      <selection sqref="A1:O8"/>
    </sheetView>
  </sheetViews>
  <sheetFormatPr defaultRowHeight="14.5" x14ac:dyDescent="0.35"/>
  <cols>
    <col min="1" max="1" width="37.453125" bestFit="1" customWidth="1"/>
    <col min="2" max="2" width="29.26953125" customWidth="1"/>
    <col min="3" max="3" width="24.81640625" customWidth="1"/>
    <col min="4" max="4" width="29.1796875" customWidth="1"/>
    <col min="5" max="5" width="27.26953125" customWidth="1"/>
    <col min="6" max="6" width="26" customWidth="1"/>
    <col min="7" max="7" width="35.1796875" customWidth="1"/>
    <col min="8" max="8" width="36.26953125" customWidth="1"/>
    <col min="9" max="9" width="31.54296875" customWidth="1"/>
    <col min="10" max="10" width="35.26953125" customWidth="1"/>
    <col min="11" max="11" width="28.7265625" customWidth="1"/>
    <col min="12" max="12" width="19.26953125" customWidth="1"/>
    <col min="13" max="13" width="25.1796875" customWidth="1"/>
    <col min="14" max="14" width="24.1796875" customWidth="1"/>
    <col min="15" max="15" width="18.26953125" customWidth="1"/>
  </cols>
  <sheetData>
    <row r="1" spans="1:15" ht="106.5" customHeight="1" x14ac:dyDescent="0.35">
      <c r="A1" s="55" t="s">
        <v>107</v>
      </c>
      <c r="B1" s="54" t="s">
        <v>106</v>
      </c>
      <c r="C1" s="54" t="s">
        <v>105</v>
      </c>
      <c r="D1" s="54" t="s">
        <v>104</v>
      </c>
      <c r="E1" s="54" t="s">
        <v>103</v>
      </c>
      <c r="F1" s="54" t="s">
        <v>102</v>
      </c>
      <c r="G1" s="54" t="s">
        <v>101</v>
      </c>
      <c r="H1" s="54" t="s">
        <v>100</v>
      </c>
      <c r="I1" s="54" t="s">
        <v>99</v>
      </c>
      <c r="J1" s="54" t="s">
        <v>98</v>
      </c>
      <c r="K1" s="54" t="s">
        <v>97</v>
      </c>
      <c r="L1" s="54" t="s">
        <v>96</v>
      </c>
      <c r="M1" s="54" t="s">
        <v>95</v>
      </c>
      <c r="N1" s="54" t="s">
        <v>94</v>
      </c>
      <c r="O1" s="54" t="s">
        <v>93</v>
      </c>
    </row>
    <row r="2" spans="1:15" ht="90" customHeight="1" x14ac:dyDescent="0.35">
      <c r="A2" s="21" t="s">
        <v>92</v>
      </c>
      <c r="B2" s="53" t="s">
        <v>70</v>
      </c>
      <c r="C2" s="51" t="s">
        <v>91</v>
      </c>
      <c r="D2" s="51" t="s">
        <v>61</v>
      </c>
      <c r="E2" s="50" t="s">
        <v>90</v>
      </c>
      <c r="F2" s="51" t="s">
        <v>58</v>
      </c>
      <c r="G2" s="50" t="s">
        <v>89</v>
      </c>
      <c r="H2" s="50" t="s">
        <v>88</v>
      </c>
      <c r="I2" s="51" t="s">
        <v>50</v>
      </c>
      <c r="J2" s="51" t="s">
        <v>87</v>
      </c>
      <c r="K2" s="51" t="s">
        <v>50</v>
      </c>
      <c r="L2" s="51" t="s">
        <v>73</v>
      </c>
      <c r="M2" s="50" t="s">
        <v>86</v>
      </c>
      <c r="N2" s="51">
        <v>2</v>
      </c>
      <c r="O2" s="50"/>
    </row>
    <row r="3" spans="1:15" ht="33" customHeight="1" x14ac:dyDescent="0.35">
      <c r="A3" s="21" t="s">
        <v>43</v>
      </c>
      <c r="B3" s="52" t="s">
        <v>70</v>
      </c>
      <c r="C3" s="51" t="s">
        <v>69</v>
      </c>
      <c r="D3" s="51" t="s">
        <v>58</v>
      </c>
      <c r="E3" s="50"/>
      <c r="F3" s="51"/>
      <c r="G3" s="50"/>
      <c r="H3" s="50"/>
      <c r="I3" s="51"/>
      <c r="J3" s="51" t="s">
        <v>85</v>
      </c>
      <c r="K3" s="51" t="s">
        <v>50</v>
      </c>
      <c r="L3" s="51"/>
      <c r="M3" s="50" t="s">
        <v>84</v>
      </c>
      <c r="N3" s="51"/>
      <c r="O3" s="50"/>
    </row>
    <row r="4" spans="1:15" ht="35.25" customHeight="1" x14ac:dyDescent="0.35">
      <c r="A4" s="21" t="s">
        <v>24</v>
      </c>
      <c r="B4" s="52" t="s">
        <v>70</v>
      </c>
      <c r="C4" s="51" t="s">
        <v>58</v>
      </c>
      <c r="D4" s="51" t="s">
        <v>61</v>
      </c>
      <c r="E4" s="50" t="s">
        <v>83</v>
      </c>
      <c r="F4" s="51" t="s">
        <v>61</v>
      </c>
      <c r="G4" s="50" t="s">
        <v>82</v>
      </c>
      <c r="H4" s="50" t="s">
        <v>81</v>
      </c>
      <c r="I4" s="51" t="s">
        <v>50</v>
      </c>
      <c r="J4" s="51" t="s">
        <v>80</v>
      </c>
      <c r="K4" s="51" t="s">
        <v>50</v>
      </c>
      <c r="L4" s="51" t="s">
        <v>73</v>
      </c>
      <c r="M4" s="50" t="s">
        <v>79</v>
      </c>
      <c r="N4" s="51">
        <v>2</v>
      </c>
      <c r="O4" s="50"/>
    </row>
    <row r="5" spans="1:15" ht="90.75" customHeight="1" x14ac:dyDescent="0.35">
      <c r="A5" s="21" t="s">
        <v>25</v>
      </c>
      <c r="B5" s="52" t="s">
        <v>70</v>
      </c>
      <c r="C5" s="51" t="s">
        <v>78</v>
      </c>
      <c r="D5" s="51" t="s">
        <v>61</v>
      </c>
      <c r="E5" s="40" t="s">
        <v>77</v>
      </c>
      <c r="F5" s="51" t="s">
        <v>58</v>
      </c>
      <c r="G5" s="50" t="s">
        <v>76</v>
      </c>
      <c r="H5" s="50" t="s">
        <v>75</v>
      </c>
      <c r="I5" s="51" t="s">
        <v>50</v>
      </c>
      <c r="J5" s="51" t="s">
        <v>74</v>
      </c>
      <c r="K5" s="51" t="s">
        <v>50</v>
      </c>
      <c r="L5" s="51" t="s">
        <v>73</v>
      </c>
      <c r="M5" s="50" t="s">
        <v>72</v>
      </c>
      <c r="N5" s="51">
        <v>1</v>
      </c>
      <c r="O5" s="50"/>
    </row>
    <row r="6" spans="1:15" ht="54" customHeight="1" x14ac:dyDescent="0.35">
      <c r="A6" s="21" t="s">
        <v>71</v>
      </c>
      <c r="B6" s="52" t="s">
        <v>70</v>
      </c>
      <c r="C6" s="51" t="s">
        <v>69</v>
      </c>
      <c r="D6" s="51" t="s">
        <v>58</v>
      </c>
      <c r="E6" s="50" t="s">
        <v>68</v>
      </c>
      <c r="F6" s="51" t="s">
        <v>58</v>
      </c>
      <c r="G6" s="50" t="s">
        <v>67</v>
      </c>
      <c r="H6" s="50" t="s">
        <v>58</v>
      </c>
      <c r="I6" s="51" t="s">
        <v>50</v>
      </c>
      <c r="J6" s="51" t="s">
        <v>66</v>
      </c>
      <c r="K6" s="51" t="s">
        <v>50</v>
      </c>
      <c r="L6" s="51" t="s">
        <v>65</v>
      </c>
      <c r="M6" s="50" t="s">
        <v>64</v>
      </c>
      <c r="N6" s="51">
        <v>1</v>
      </c>
      <c r="O6" s="50"/>
    </row>
    <row r="7" spans="1:15" ht="42" customHeight="1" thickBot="1" x14ac:dyDescent="0.4">
      <c r="A7" s="23" t="s">
        <v>26</v>
      </c>
      <c r="B7" s="49" t="s">
        <v>63</v>
      </c>
      <c r="C7" s="48" t="s">
        <v>62</v>
      </c>
      <c r="D7" s="48" t="s">
        <v>61</v>
      </c>
      <c r="E7" s="47" t="s">
        <v>60</v>
      </c>
      <c r="F7" s="48" t="s">
        <v>58</v>
      </c>
      <c r="G7" s="47" t="s">
        <v>59</v>
      </c>
      <c r="H7" s="47" t="s">
        <v>58</v>
      </c>
      <c r="I7" s="48"/>
      <c r="J7" s="48" t="s">
        <v>57</v>
      </c>
      <c r="K7" s="48" t="s">
        <v>50</v>
      </c>
      <c r="L7" s="48"/>
      <c r="M7" s="47" t="s">
        <v>56</v>
      </c>
      <c r="N7" s="48"/>
      <c r="O7" s="47"/>
    </row>
    <row r="8" spans="1:15" ht="28.5" thickTop="1" x14ac:dyDescent="0.35">
      <c r="A8" s="46"/>
      <c r="B8" s="45" t="s">
        <v>55</v>
      </c>
      <c r="C8" s="44"/>
      <c r="D8" s="43"/>
      <c r="E8" s="42"/>
      <c r="F8" s="43"/>
      <c r="G8" s="42"/>
      <c r="H8" s="42"/>
      <c r="I8" s="42"/>
      <c r="J8" s="42"/>
      <c r="K8" s="43"/>
      <c r="L8" s="42"/>
      <c r="M8" s="42"/>
      <c r="N8" s="42"/>
      <c r="O8" s="4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LCB</vt:lpstr>
      <vt:lpstr>BC</vt:lpstr>
    </vt:vector>
  </TitlesOfParts>
  <Company>Government of Manitoba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Rahman, Ananna</dc:creator>
  <cp:lastModifiedBy>Rahman, Ananna</cp:lastModifiedBy>
  <dcterms:created xsi:type="dcterms:W3CDTF">2025-11-19T00:34:02Z</dcterms:created>
  <dcterms:modified xsi:type="dcterms:W3CDTF">2026-04-27T19:51:07Z</dcterms:modified>
</cp:coreProperties>
</file>